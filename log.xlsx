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预测日志" sheetId="1" state="visible" r:id="rId2"/>
    <sheet name="统计" sheetId="2" state="visible" r:id="rId3"/>
    <sheet name="说明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<sst xmlns="http://schemas.openxmlformats.org/spreadsheetml/2006/main" count="75" uniqueCount="65">
  <si>
    <t xml:space="preserve">目标日期</t>
  </si>
  <si>
    <t xml:space="preserve">生成时间</t>
  </si>
  <si>
    <t xml:space="preserve">基准价($/oz)</t>
  </si>
  <si>
    <t xml:space="preserve">最终方向</t>
  </si>
  <si>
    <t xml:space="preserve">最终幅度档</t>
  </si>
  <si>
    <t xml:space="preserve">模型原始方向</t>
  </si>
  <si>
    <t xml:space="preserve">模型原始档位</t>
  </si>
  <si>
    <t xml:space="preserve">人工修正</t>
  </si>
  <si>
    <t xml:space="preserve">次日实际价($/oz)</t>
  </si>
  <si>
    <t xml:space="preserve">实际涨跌幅</t>
  </si>
  <si>
    <t xml:space="preserve">实际方向</t>
  </si>
  <si>
    <t xml:space="preserve">实际档位</t>
  </si>
  <si>
    <t xml:space="preserve">方向对错</t>
  </si>
  <si>
    <t xml:space="preserve">档位对错</t>
  </si>
  <si>
    <t xml:space="preserve">市况标签</t>
  </si>
  <si>
    <t xml:space="preserve">关键驱动摘要</t>
  </si>
  <si>
    <t xml:space="preserve">备注</t>
  </si>
  <si>
    <r>
      <rPr>
        <sz val="11"/>
        <color rgb="FF000000"/>
        <rFont val="Noto Sans CJK SC"/>
        <family val="2"/>
      </rPr>
      <t xml:space="preserve">置信度</t>
    </r>
    <r>
      <rPr>
        <sz val="11"/>
        <color rgb="FF000000"/>
        <rFont val="Calibri"/>
        <family val="2"/>
        <charset val="1"/>
      </rPr>
      <t xml:space="preserve">(%)</t>
    </r>
  </si>
  <si>
    <t xml:space="preserve">2026-08-21</t>
  </si>
  <si>
    <t xml:space="preserve">2026-08-21 10:55</t>
  </si>
  <si>
    <t xml:space="preserve">涨</t>
  </si>
  <si>
    <t xml:space="preserve">大</t>
  </si>
  <si>
    <t xml:space="preserve">否</t>
  </si>
  <si>
    <t xml:space="preserve">趋势涨</t>
  </si>
  <si>
    <t xml:space="preserve">动能突破(8/20 +4.29%, RSI58/MACD多头)+央行购金加速(PBOC 7月+19.9t)+CFTC净多+9%+霍尔木兹避险+通胀降温；风险：暴涨后回调、联储信号反复、VIX升至16</t>
  </si>
  <si>
    <t xml:space="preserve">周六06:30定时结算失败(UTC时区误判+会话无产出)，8/24手动补结算；实际价=周五纽约收盘(新闻源previous close 4604.09，与LBMA周五定盘4582.10及+1.69%单日涨幅互证)</t>
  </si>
  <si>
    <t xml:space="preserve">2026-08-24</t>
  </si>
  <si>
    <t xml:space="preserve">2026-08-24 10:15</t>
  </si>
  <si>
    <t xml:space="preserve">趋势涨(20日+12.66%)</t>
  </si>
  <si>
    <t xml:space="preserve">动能延续(上周+5.6%创三个月新高,今早跳空高开)+央行购金(PBOC 6月+15t连买21月)+霍尔木兹避险(航运-90%)+9月降息押注升温；风险:美元走强/连涨后获利回吐/VIX回落15.1</t>
  </si>
  <si>
    <t xml:space="preserve">周一06:30定时执行失败(UTC时钟周日误判)，10:15手动补跑；基准价为10:15实时价(晚于06:00切点)；口径已改为当日趋势</t>
  </si>
  <si>
    <t xml:space="preserve">黄金预测评分统计</t>
  </si>
  <si>
    <t xml:space="preserve">已结算预测数</t>
  </si>
  <si>
    <t xml:space="preserve">累计预测行数</t>
  </si>
  <si>
    <t xml:space="preserve">方向正确率（累计）</t>
  </si>
  <si>
    <t xml:space="preserve">档位正确率（累计）</t>
  </si>
  <si>
    <t xml:space="preserve">方向正确率（近30次）</t>
  </si>
  <si>
    <t xml:space="preserve">档位正确率（近30次）</t>
  </si>
  <si>
    <t xml:space="preserve">趋势市方向正确率</t>
  </si>
  <si>
    <t xml:space="preserve">震荡市方向正确率</t>
  </si>
  <si>
    <t xml:space="preserve">注：尚无已结算预测时显示 "-" 属正常；数据填入后自动更新。</t>
  </si>
  <si>
    <t xml:space="preserve">置信度已记录数</t>
  </si>
  <si>
    <t xml:space="preserve">置信度已结算样本</t>
  </si>
  <si>
    <t xml:space="preserve">校准报告门槛</t>
  </si>
  <si>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CJK SC"/>
        <family val="2"/>
      </rPr>
      <t xml:space="preserve">个已结算样本（达标后跑 </t>
    </r>
    <r>
      <rPr>
        <sz val="11"/>
        <color rgb="FF000000"/>
        <rFont val="Calibri"/>
        <family val="2"/>
        <charset val="1"/>
      </rPr>
      <t xml:space="preserve">scripts/calibration.py</t>
    </r>
    <r>
      <rPr>
        <sz val="11"/>
        <color rgb="FF000000"/>
        <rFont val="Noto Sans CJK SC"/>
        <family val="2"/>
      </rPr>
      <t xml:space="preserve">）</t>
    </r>
  </si>
  <si>
    <t xml:space="preserve">黄金预测系统规则说明</t>
  </si>
  <si>
    <t xml:space="preserve">预测对象</t>
  </si>
  <si>
    <t xml:space="preserve">北京时间当日 06:00 → 次日 06:00 的 XAU/USD（伦敦金现）当日趋势（覆盖当日全天含隔夜美盘）；每日 06:30 定时生成，预测的是“今天”的走势</t>
  </si>
  <si>
    <t xml:space="preserve">方向定义</t>
  </si>
  <si>
    <t xml:space="preserve">涨/跌二分判断；实际恰好持平时记"平"，该日方向不计对错</t>
  </si>
  <si>
    <t xml:space="preserve">幅度三档</t>
  </si>
  <si>
    <t xml:space="preserve">小：|涨跌幅| ≤ 0.3%；中：0.3% &lt; |涨跌幅| ≤ 1.0%；大：|涨跌幅| &gt; 1.0%</t>
  </si>
  <si>
    <t xml:space="preserve">计分规则</t>
  </si>
  <si>
    <t xml:space="preserve">最终方向/最终幅度档 vs 实际：一致记 √，不一致记 ×；分数只算"最终"列（经人工修正后的决策）</t>
  </si>
  <si>
    <t xml:space="preserve">留档列</t>
  </si>
  <si>
    <t xml:space="preserve">模型原始方向/档位仅作对照留档，不计分，用于事后分析模型与人工修正各自贡献</t>
  </si>
  <si>
    <t xml:space="preserve">报告发出后如需改判，修改"最终方向/最终幅度档"并在"人工修正"列记"是"</t>
  </si>
  <si>
    <t xml:space="preserve">按近20个交易日区间与波动自动判定：趋势涨 / 趋势跌 / 震荡，仅作分组分析，不影响计分</t>
  </si>
  <si>
    <t xml:space="preserve">数据来源</t>
  </si>
  <si>
    <r>
      <rPr>
        <sz val="11"/>
        <color rgb="FF000000"/>
        <rFont val="Calibri"/>
        <family val="2"/>
        <charset val="1"/>
      </rPr>
      <t xml:space="preserve">Tavily </t>
    </r>
    <r>
      <rPr>
        <sz val="11"/>
        <color rgb="FF000000"/>
        <rFont val="Noto Sans CJK SC"/>
        <family val="2"/>
      </rPr>
      <t xml:space="preserve">新闻搜索（主力）</t>
    </r>
    <r>
      <rPr>
        <sz val="11"/>
        <color rgb="FF000000"/>
        <rFont val="Calibri"/>
        <family val="2"/>
        <charset val="1"/>
      </rPr>
      <t xml:space="preserve">+ </t>
    </r>
    <r>
      <rPr>
        <sz val="11"/>
        <color rgb="FF000000"/>
        <rFont val="Noto Sans CJK SC"/>
        <family val="2"/>
      </rPr>
      <t xml:space="preserve">内置搜索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网页抓取 </t>
    </r>
    <r>
      <rPr>
        <sz val="11"/>
        <color rgb="FF000000"/>
        <rFont val="Calibri"/>
        <family val="2"/>
        <charset val="1"/>
      </rPr>
      <t xml:space="preserve">+ FRED/CFTC/CBOE/</t>
    </r>
    <r>
      <rPr>
        <sz val="11"/>
        <color rgb="FF000000"/>
        <rFont val="Noto Sans CJK SC"/>
        <family val="2"/>
      </rPr>
      <t xml:space="preserve">财政部</t>
    </r>
    <r>
      <rPr>
        <sz val="11"/>
        <color rgb="FF000000"/>
        <rFont val="Calibri"/>
        <family val="2"/>
        <charset val="1"/>
      </rPr>
      <t xml:space="preserve">/WGC/</t>
    </r>
    <r>
      <rPr>
        <sz val="11"/>
        <color rgb="FF000000"/>
        <rFont val="Noto Sans CJK SC"/>
        <family val="2"/>
      </rPr>
      <t xml:space="preserve">金十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上金所 </t>
    </r>
    <r>
      <rPr>
        <sz val="11"/>
        <color rgb="FF000000"/>
        <rFont val="Calibri"/>
        <family val="2"/>
        <charset val="1"/>
      </rPr>
      <t xml:space="preserve">+ AgentEarth </t>
    </r>
    <r>
      <rPr>
        <sz val="11"/>
        <color rgb="FF000000"/>
        <rFont val="Noto Sans CJK SC"/>
        <family val="2"/>
      </rPr>
      <t xml:space="preserve">兜底</t>
    </r>
  </si>
  <si>
    <t xml:space="preserve">评分统计</t>
  </si>
  <si>
    <t xml:space="preserve">见"统计"工作表：累计与近30次的方向/档位正确率、趋势市与震荡市分项</t>
  </si>
  <si>
    <t xml:space="preserve">建档信息</t>
  </si>
  <si>
    <r>
      <rPr>
        <sz val="11"/>
        <color rgb="FF000000"/>
        <rFont val="Calibri"/>
        <family val="2"/>
        <charset val="1"/>
      </rPr>
      <t xml:space="preserve">2026-08-21 </t>
    </r>
    <r>
      <rPr>
        <sz val="11"/>
        <color rgb="FF000000"/>
        <rFont val="Noto Sans CJK SC"/>
        <family val="2"/>
      </rPr>
      <t xml:space="preserve">建档；冷启动回填 </t>
    </r>
    <r>
      <rPr>
        <sz val="11"/>
        <color rgb="FF000000"/>
        <rFont val="Calibri"/>
        <family val="2"/>
        <charset val="1"/>
      </rPr>
      <t xml:space="preserve">30 </t>
    </r>
    <r>
      <rPr>
        <sz val="11"/>
        <color rgb="FF000000"/>
        <rFont val="Noto Sans CJK SC"/>
        <family val="2"/>
      </rPr>
      <t xml:space="preserve">天历史基线；不设硬性胜率目标，按日志滚动评估</t>
    </r>
  </si>
  <si>
    <r>
      <rPr>
        <sz val="11"/>
        <color rgb="FF000000"/>
        <rFont val="Noto Sans CJK SC"/>
        <family val="2"/>
      </rPr>
      <t xml:space="preserve">晨间生成预测时，把报告中方向置信度同步记入本列；用于校准分析（各置信度档的声称把握 </t>
    </r>
    <r>
      <rPr>
        <sz val="11"/>
        <color rgb="FF000000"/>
        <rFont val="Calibri"/>
        <family val="2"/>
        <charset val="1"/>
      </rPr>
      <t xml:space="preserve">vs </t>
    </r>
    <r>
      <rPr>
        <sz val="11"/>
        <color rgb="FF000000"/>
        <rFont val="Noto Sans CJK SC"/>
        <family val="2"/>
      </rPr>
      <t xml:space="preserve">实际命中率），攒够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Noto Sans CJK SC"/>
        <family val="2"/>
      </rPr>
      <t xml:space="preserve">个已结算样本后运行 </t>
    </r>
    <r>
      <rPr>
        <sz val="11"/>
        <color rgb="FF000000"/>
        <rFont val="Calibri"/>
        <family val="2"/>
        <charset val="1"/>
      </rPr>
      <t xml:space="preserve">scripts/calibration.py </t>
    </r>
    <r>
      <rPr>
        <sz val="11"/>
        <color rgb="FF000000"/>
        <rFont val="Noto Sans CJK SC"/>
        <family val="2"/>
      </rPr>
      <t xml:space="preserve">出校准报告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</si>
</sst>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%"/>
    <numFmt numFmtId="167" formatCode="General"/>
    <numFmt numFmtId="168" formatCode="0.0%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1"/>
      <color rgb="FF000000"/>
      <name val="Noto Sans CJK SC"/>
      <family val="2"/>
    </font>
    <font>
      <sz val="11"/>
      <color rgb="FF000000"/>
      <name val="Noto Sans CJK SC"/>
      <family val="2"/>
      <charset val="1"/>
    </font>
    <font>
      <b val="true"/>
      <sz val="14"/>
      <name val="Noto Sans CJK SC"/>
      <family val="2"/>
      <charset val="1"/>
    </font>
    <font>
      <b val="true"/>
      <sz val="11"/>
      <color rgb="FF1F2937"/>
      <name val="Noto Sans CJK SC"/>
      <family val="2"/>
      <charset val="1"/>
    </font>
    <font>
      <b val="true"/>
      <sz val="11"/>
      <color rgb="FF1F2937"/>
      <name val="Cambria"/>
      <family val="0"/>
      <charset val="1"/>
    </font>
    <font>
      <i val="true"/>
      <sz val="9"/>
      <color rgb="FF808080"/>
      <name val="Noto Sans CJK SC"/>
      <family val="2"/>
      <charset val="1"/>
    </font>
    <font>
      <b val="true"/>
      <sz val="13"/>
      <name val="Noto Sans CJK SC"/>
      <family val="2"/>
      <charset val="1"/>
    </font>
    <font>
      <b val="true"/>
      <sz val="11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EAF2FF"/>
        <bgColor rgb="FFF7F9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AF2FF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7" min="6" style="1" width="13"/>
    <col collapsed="false" customWidth="true" hidden="false" outlineLevel="0" max="8" min="8" style="1" width="10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4" min="13" style="1" width="10"/>
    <col collapsed="false" customWidth="true" hidden="false" outlineLevel="0" max="15" min="15" style="1" width="12"/>
    <col collapsed="false" customWidth="true" hidden="false" outlineLevel="0" max="16" min="16" style="1" width="50"/>
    <col collapsed="false" customWidth="true" hidden="false" outlineLevel="0" max="17" min="17" style="1" width="24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customFormat="false" ht="15" hidden="false" customHeight="true" outlineLevel="0" collapsed="false">
      <c r="A2" s="4" t="s">
        <v>18</v>
      </c>
      <c r="B2" s="4" t="s">
        <v>19</v>
      </c>
      <c r="C2" s="5" t="n">
        <v>4538.3</v>
      </c>
      <c r="D2" s="6" t="s">
        <v>20</v>
      </c>
      <c r="E2" s="6" t="s">
        <v>21</v>
      </c>
      <c r="F2" s="6" t="s">
        <v>20</v>
      </c>
      <c r="G2" s="6" t="s">
        <v>21</v>
      </c>
      <c r="H2" s="6" t="s">
        <v>22</v>
      </c>
      <c r="I2" s="5" t="n">
        <v>4604.09</v>
      </c>
      <c r="J2" s="7" t="n">
        <f aca="false">IF(OR(I2="",C2=""),"",(I2-C2)/C2)</f>
        <v>0.0144966176762224</v>
      </c>
      <c r="K2" s="4" t="str">
        <f aca="false">IF(J2="","",IF(J2&gt;0,"涨",IF(J2&lt;0,"跌","平")))</f>
        <v>涨</v>
      </c>
      <c r="L2" s="4" t="str">
        <f aca="false">IF(J2="","",IF(ABS(J2)&lt;=0.003,"小",IF(ABS(J2)&lt;=0.01,"中","大")))</f>
        <v>大</v>
      </c>
      <c r="M2" s="4" t="str">
        <f aca="false">IF(OR(D2="",K2=""),"",IF(D2=K2,"√","×"))</f>
        <v>√</v>
      </c>
      <c r="N2" s="4" t="str">
        <f aca="false">IF(OR(E2="",L2=""),"",IF(E2=L2,"√","×"))</f>
        <v>√</v>
      </c>
      <c r="O2" s="6" t="s">
        <v>23</v>
      </c>
      <c r="P2" s="6" t="s">
        <v>24</v>
      </c>
      <c r="Q2" s="6" t="s">
        <v>25</v>
      </c>
      <c r="R2" s="0" t="n">
        <v>60</v>
      </c>
    </row>
    <row r="3" customFormat="false" ht="15" hidden="false" customHeight="true" outlineLevel="0" collapsed="false">
      <c r="A3" s="8" t="s">
        <v>26</v>
      </c>
      <c r="B3" s="8" t="s">
        <v>27</v>
      </c>
      <c r="C3" s="9" t="n">
        <v>4643.9</v>
      </c>
      <c r="D3" s="10" t="s">
        <v>20</v>
      </c>
      <c r="E3" s="10" t="s">
        <v>21</v>
      </c>
      <c r="F3" s="10" t="s">
        <v>20</v>
      </c>
      <c r="G3" s="10" t="s">
        <v>21</v>
      </c>
      <c r="H3" s="10" t="s">
        <v>22</v>
      </c>
      <c r="I3" s="9"/>
      <c r="J3" s="11" t="str">
        <f aca="false">IF(OR(I3="",C3=""),"",(I3-C3)/C3)</f>
        <v/>
      </c>
      <c r="K3" s="8" t="str">
        <f aca="false">IF(J3="","",IF(J3&gt;0,"涨",IF(J3&lt;0,"跌","平")))</f>
        <v/>
      </c>
      <c r="L3" s="8" t="str">
        <f aca="false">IF(J3="","",IF(ABS(J3)&lt;=0.003,"小",IF(ABS(J3)&lt;=0.01,"中","大")))</f>
        <v/>
      </c>
      <c r="M3" s="8" t="str">
        <f aca="false">IF(OR(D3="",K3=""),"",IF(D3=K3,"√","×"))</f>
        <v/>
      </c>
      <c r="N3" s="8" t="str">
        <f aca="false">IF(OR(E3="",L3=""),"",IF(E3=L3,"√","×"))</f>
        <v/>
      </c>
      <c r="O3" s="10" t="s">
        <v>28</v>
      </c>
      <c r="P3" s="10" t="s">
        <v>29</v>
      </c>
      <c r="Q3" s="10" t="s">
        <v>30</v>
      </c>
      <c r="R3" s="0" t="n">
        <v>55</v>
      </c>
    </row>
    <row r="4" customFormat="false" ht="15" hidden="false" customHeight="true" outlineLevel="0" collapsed="false">
      <c r="A4" s="4"/>
      <c r="B4" s="4"/>
      <c r="C4" s="5"/>
      <c r="D4" s="4"/>
      <c r="E4" s="4"/>
      <c r="F4" s="4"/>
      <c r="G4" s="4"/>
      <c r="H4" s="4"/>
      <c r="I4" s="5"/>
      <c r="J4" s="7" t="str">
        <f aca="false">IF(OR(I4="",C4=""),"",(I4-C4)/C4)</f>
        <v/>
      </c>
      <c r="K4" s="4" t="str">
        <f aca="false">IF(J4="","",IF(J4&gt;0,"涨",IF(J4&lt;0,"跌","平")))</f>
        <v/>
      </c>
      <c r="L4" s="4" t="str">
        <f aca="false">IF(J4="","",IF(ABS(J4)&lt;=0.003,"小",IF(ABS(J4)&lt;=0.01,"中","大")))</f>
        <v/>
      </c>
      <c r="M4" s="4" t="str">
        <f aca="false">IF(OR(D4="",K4=""),"",IF(D4=K4,"√","×"))</f>
        <v/>
      </c>
      <c r="N4" s="4" t="str">
        <f aca="false">IF(OR(E4="",L4=""),"",IF(E4=L4,"√","×"))</f>
        <v/>
      </c>
      <c r="O4" s="4"/>
      <c r="P4" s="4"/>
      <c r="Q4" s="4"/>
    </row>
    <row r="5" customFormat="false" ht="15" hidden="false" customHeight="true" outlineLevel="0" collapsed="false">
      <c r="A5" s="8"/>
      <c r="B5" s="8"/>
      <c r="C5" s="9"/>
      <c r="D5" s="8"/>
      <c r="E5" s="8"/>
      <c r="F5" s="8"/>
      <c r="G5" s="8"/>
      <c r="H5" s="8"/>
      <c r="I5" s="9"/>
      <c r="J5" s="11" t="str">
        <f aca="false">IF(OR(I5="",C5=""),"",(I5-C5)/C5)</f>
        <v/>
      </c>
      <c r="K5" s="8" t="str">
        <f aca="false">IF(J5="","",IF(J5&gt;0,"涨",IF(J5&lt;0,"跌","平")))</f>
        <v/>
      </c>
      <c r="L5" s="8" t="str">
        <f aca="false">IF(J5="","",IF(ABS(J5)&lt;=0.003,"小",IF(ABS(J5)&lt;=0.01,"中","大")))</f>
        <v/>
      </c>
      <c r="M5" s="8" t="str">
        <f aca="false">IF(OR(D5="",K5=""),"",IF(D5=K5,"√","×"))</f>
        <v/>
      </c>
      <c r="N5" s="8" t="str">
        <f aca="false">IF(OR(E5="",L5=""),"",IF(E5=L5,"√","×"))</f>
        <v/>
      </c>
      <c r="O5" s="8"/>
      <c r="P5" s="8"/>
      <c r="Q5" s="8"/>
    </row>
    <row r="6" customFormat="false" ht="15" hidden="false" customHeight="true" outlineLevel="0" collapsed="false">
      <c r="A6" s="4"/>
      <c r="B6" s="4"/>
      <c r="C6" s="5"/>
      <c r="D6" s="4"/>
      <c r="E6" s="4"/>
      <c r="F6" s="4"/>
      <c r="G6" s="4"/>
      <c r="H6" s="4"/>
      <c r="I6" s="5"/>
      <c r="J6" s="7" t="str">
        <f aca="false">IF(OR(I6="",C6=""),"",(I6-C6)/C6)</f>
        <v/>
      </c>
      <c r="K6" s="4" t="str">
        <f aca="false">IF(J6="","",IF(J6&gt;0,"涨",IF(J6&lt;0,"跌","平")))</f>
        <v/>
      </c>
      <c r="L6" s="4" t="str">
        <f aca="false">IF(J6="","",IF(ABS(J6)&lt;=0.003,"小",IF(ABS(J6)&lt;=0.01,"中","大")))</f>
        <v/>
      </c>
      <c r="M6" s="4" t="str">
        <f aca="false">IF(OR(D6="",K6=""),"",IF(D6=K6,"√","×"))</f>
        <v/>
      </c>
      <c r="N6" s="4" t="str">
        <f aca="false">IF(OR(E6="",L6=""),"",IF(E6=L6,"√","×"))</f>
        <v/>
      </c>
      <c r="O6" s="4"/>
      <c r="P6" s="4"/>
      <c r="Q6" s="4"/>
    </row>
    <row r="7" customFormat="false" ht="15" hidden="false" customHeight="true" outlineLevel="0" collapsed="false">
      <c r="A7" s="8"/>
      <c r="B7" s="8"/>
      <c r="C7" s="9"/>
      <c r="D7" s="8"/>
      <c r="E7" s="8"/>
      <c r="F7" s="8"/>
      <c r="G7" s="8"/>
      <c r="H7" s="8"/>
      <c r="I7" s="9"/>
      <c r="J7" s="11" t="str">
        <f aca="false">IF(OR(I7="",C7=""),"",(I7-C7)/C7)</f>
        <v/>
      </c>
      <c r="K7" s="8" t="str">
        <f aca="false">IF(J7="","",IF(J7&gt;0,"涨",IF(J7&lt;0,"跌","平")))</f>
        <v/>
      </c>
      <c r="L7" s="8" t="str">
        <f aca="false">IF(J7="","",IF(ABS(J7)&lt;=0.003,"小",IF(ABS(J7)&lt;=0.01,"中","大")))</f>
        <v/>
      </c>
      <c r="M7" s="8" t="str">
        <f aca="false">IF(OR(D7="",K7=""),"",IF(D7=K7,"√","×"))</f>
        <v/>
      </c>
      <c r="N7" s="8" t="str">
        <f aca="false">IF(OR(E7="",L7=""),"",IF(E7=L7,"√","×"))</f>
        <v/>
      </c>
      <c r="O7" s="8"/>
      <c r="P7" s="8"/>
      <c r="Q7" s="8"/>
    </row>
    <row r="8" customFormat="false" ht="15" hidden="false" customHeight="true" outlineLevel="0" collapsed="false">
      <c r="A8" s="4"/>
      <c r="B8" s="4"/>
      <c r="C8" s="5"/>
      <c r="D8" s="4"/>
      <c r="E8" s="4"/>
      <c r="F8" s="4"/>
      <c r="G8" s="4"/>
      <c r="H8" s="4"/>
      <c r="I8" s="5"/>
      <c r="J8" s="7" t="str">
        <f aca="false">IF(OR(I8="",C8=""),"",(I8-C8)/C8)</f>
        <v/>
      </c>
      <c r="K8" s="4" t="str">
        <f aca="false">IF(J8="","",IF(J8&gt;0,"涨",IF(J8&lt;0,"跌","平")))</f>
        <v/>
      </c>
      <c r="L8" s="4" t="str">
        <f aca="false">IF(J8="","",IF(ABS(J8)&lt;=0.003,"小",IF(ABS(J8)&lt;=0.01,"中","大")))</f>
        <v/>
      </c>
      <c r="M8" s="4" t="str">
        <f aca="false">IF(OR(D8="",K8=""),"",IF(D8=K8,"√","×"))</f>
        <v/>
      </c>
      <c r="N8" s="4" t="str">
        <f aca="false">IF(OR(E8="",L8=""),"",IF(E8=L8,"√","×"))</f>
        <v/>
      </c>
      <c r="O8" s="4"/>
      <c r="P8" s="4"/>
      <c r="Q8" s="4"/>
    </row>
    <row r="9" customFormat="false" ht="15" hidden="false" customHeight="true" outlineLevel="0" collapsed="false">
      <c r="A9" s="8"/>
      <c r="B9" s="8"/>
      <c r="C9" s="9"/>
      <c r="D9" s="8"/>
      <c r="E9" s="8"/>
      <c r="F9" s="8"/>
      <c r="G9" s="8"/>
      <c r="H9" s="8"/>
      <c r="I9" s="9"/>
      <c r="J9" s="11" t="str">
        <f aca="false">IF(OR(I9="",C9=""),"",(I9-C9)/C9)</f>
        <v/>
      </c>
      <c r="K9" s="8" t="str">
        <f aca="false">IF(J9="","",IF(J9&gt;0,"涨",IF(J9&lt;0,"跌","平")))</f>
        <v/>
      </c>
      <c r="L9" s="8" t="str">
        <f aca="false">IF(J9="","",IF(ABS(J9)&lt;=0.003,"小",IF(ABS(J9)&lt;=0.01,"中","大")))</f>
        <v/>
      </c>
      <c r="M9" s="8" t="str">
        <f aca="false">IF(OR(D9="",K9=""),"",IF(D9=K9,"√","×"))</f>
        <v/>
      </c>
      <c r="N9" s="8" t="str">
        <f aca="false">IF(OR(E9="",L9=""),"",IF(E9=L9,"√","×"))</f>
        <v/>
      </c>
      <c r="O9" s="8"/>
      <c r="P9" s="8"/>
      <c r="Q9" s="8"/>
    </row>
    <row r="10" customFormat="false" ht="15" hidden="false" customHeight="true" outlineLevel="0" collapsed="false">
      <c r="A10" s="4"/>
      <c r="B10" s="4"/>
      <c r="C10" s="5"/>
      <c r="D10" s="4"/>
      <c r="E10" s="4"/>
      <c r="F10" s="4"/>
      <c r="G10" s="4"/>
      <c r="H10" s="4"/>
      <c r="I10" s="5"/>
      <c r="J10" s="7" t="str">
        <f aca="false">IF(OR(I10="",C10=""),"",(I10-C10)/C10)</f>
        <v/>
      </c>
      <c r="K10" s="4" t="str">
        <f aca="false">IF(J10="","",IF(J10&gt;0,"涨",IF(J10&lt;0,"跌","平")))</f>
        <v/>
      </c>
      <c r="L10" s="4" t="str">
        <f aca="false">IF(J10="","",IF(ABS(J10)&lt;=0.003,"小",IF(ABS(J10)&lt;=0.01,"中","大")))</f>
        <v/>
      </c>
      <c r="M10" s="4" t="str">
        <f aca="false">IF(OR(D10="",K10=""),"",IF(D10=K10,"√","×"))</f>
        <v/>
      </c>
      <c r="N10" s="4" t="str">
        <f aca="false">IF(OR(E10="",L10=""),"",IF(E10=L10,"√","×"))</f>
        <v/>
      </c>
      <c r="O10" s="4"/>
      <c r="P10" s="4"/>
      <c r="Q10" s="4"/>
    </row>
    <row r="11" customFormat="false" ht="15" hidden="false" customHeight="true" outlineLevel="0" collapsed="false">
      <c r="A11" s="8"/>
      <c r="B11" s="8"/>
      <c r="C11" s="9"/>
      <c r="D11" s="8"/>
      <c r="E11" s="8"/>
      <c r="F11" s="8"/>
      <c r="G11" s="8"/>
      <c r="H11" s="8"/>
      <c r="I11" s="9"/>
      <c r="J11" s="11" t="str">
        <f aca="false">IF(OR(I11="",C11=""),"",(I11-C11)/C11)</f>
        <v/>
      </c>
      <c r="K11" s="8" t="str">
        <f aca="false">IF(J11="","",IF(J11&gt;0,"涨",IF(J11&lt;0,"跌","平")))</f>
        <v/>
      </c>
      <c r="L11" s="8" t="str">
        <f aca="false">IF(J11="","",IF(ABS(J11)&lt;=0.003,"小",IF(ABS(J11)&lt;=0.01,"中","大")))</f>
        <v/>
      </c>
      <c r="M11" s="8" t="str">
        <f aca="false">IF(OR(D11="",K11=""),"",IF(D11=K11,"√","×"))</f>
        <v/>
      </c>
      <c r="N11" s="8" t="str">
        <f aca="false">IF(OR(E11="",L11=""),"",IF(E11=L11,"√","×"))</f>
        <v/>
      </c>
      <c r="O11" s="8"/>
      <c r="P11" s="8"/>
      <c r="Q11" s="8"/>
    </row>
    <row r="12" customFormat="false" ht="15" hidden="false" customHeight="true" outlineLevel="0" collapsed="false">
      <c r="A12" s="4"/>
      <c r="B12" s="4"/>
      <c r="C12" s="5"/>
      <c r="D12" s="4"/>
      <c r="E12" s="4"/>
      <c r="F12" s="4"/>
      <c r="G12" s="4"/>
      <c r="H12" s="4"/>
      <c r="I12" s="5"/>
      <c r="J12" s="7" t="str">
        <f aca="false">IF(OR(I12="",C12=""),"",(I12-C12)/C12)</f>
        <v/>
      </c>
      <c r="K12" s="4" t="str">
        <f aca="false">IF(J12="","",IF(J12&gt;0,"涨",IF(J12&lt;0,"跌","平")))</f>
        <v/>
      </c>
      <c r="L12" s="4" t="str">
        <f aca="false">IF(J12="","",IF(ABS(J12)&lt;=0.003,"小",IF(ABS(J12)&lt;=0.01,"中","大")))</f>
        <v/>
      </c>
      <c r="M12" s="4" t="str">
        <f aca="false">IF(OR(D12="",K12=""),"",IF(D12=K12,"√","×"))</f>
        <v/>
      </c>
      <c r="N12" s="4" t="str">
        <f aca="false">IF(OR(E12="",L12=""),"",IF(E12=L12,"√","×"))</f>
        <v/>
      </c>
      <c r="O12" s="4"/>
      <c r="P12" s="4"/>
      <c r="Q12" s="4"/>
    </row>
    <row r="13" customFormat="false" ht="15" hidden="false" customHeight="true" outlineLevel="0" collapsed="false">
      <c r="A13" s="8"/>
      <c r="B13" s="8"/>
      <c r="C13" s="9"/>
      <c r="D13" s="8"/>
      <c r="E13" s="8"/>
      <c r="F13" s="8"/>
      <c r="G13" s="8"/>
      <c r="H13" s="8"/>
      <c r="I13" s="9"/>
      <c r="J13" s="11" t="str">
        <f aca="false">IF(OR(I13="",C13=""),"",(I13-C13)/C13)</f>
        <v/>
      </c>
      <c r="K13" s="8" t="str">
        <f aca="false">IF(J13="","",IF(J13&gt;0,"涨",IF(J13&lt;0,"跌","平")))</f>
        <v/>
      </c>
      <c r="L13" s="8" t="str">
        <f aca="false">IF(J13="","",IF(ABS(J13)&lt;=0.003,"小",IF(ABS(J13)&lt;=0.01,"中","大")))</f>
        <v/>
      </c>
      <c r="M13" s="8" t="str">
        <f aca="false">IF(OR(D13="",K13=""),"",IF(D13=K13,"√","×"))</f>
        <v/>
      </c>
      <c r="N13" s="8" t="str">
        <f aca="false">IF(OR(E13="",L13=""),"",IF(E13=L13,"√","×"))</f>
        <v/>
      </c>
      <c r="O13" s="8"/>
      <c r="P13" s="8"/>
      <c r="Q13" s="8"/>
    </row>
    <row r="14" customFormat="false" ht="15" hidden="false" customHeight="true" outlineLevel="0" collapsed="false">
      <c r="A14" s="4"/>
      <c r="B14" s="4"/>
      <c r="C14" s="5"/>
      <c r="D14" s="4"/>
      <c r="E14" s="4"/>
      <c r="F14" s="4"/>
      <c r="G14" s="4"/>
      <c r="H14" s="4"/>
      <c r="I14" s="5"/>
      <c r="J14" s="7" t="str">
        <f aca="false">IF(OR(I14="",C14=""),"",(I14-C14)/C14)</f>
        <v/>
      </c>
      <c r="K14" s="4" t="str">
        <f aca="false">IF(J14="","",IF(J14&gt;0,"涨",IF(J14&lt;0,"跌","平")))</f>
        <v/>
      </c>
      <c r="L14" s="4" t="str">
        <f aca="false">IF(J14="","",IF(ABS(J14)&lt;=0.003,"小",IF(ABS(J14)&lt;=0.01,"中","大")))</f>
        <v/>
      </c>
      <c r="M14" s="4" t="str">
        <f aca="false">IF(OR(D14="",K14=""),"",IF(D14=K14,"√","×"))</f>
        <v/>
      </c>
      <c r="N14" s="4" t="str">
        <f aca="false">IF(OR(E14="",L14=""),"",IF(E14=L14,"√","×"))</f>
        <v/>
      </c>
      <c r="O14" s="4"/>
      <c r="P14" s="4"/>
      <c r="Q14" s="4"/>
    </row>
    <row r="15" customFormat="false" ht="15" hidden="false" customHeight="true" outlineLevel="0" collapsed="false">
      <c r="A15" s="8"/>
      <c r="B15" s="8"/>
      <c r="C15" s="9"/>
      <c r="D15" s="8"/>
      <c r="E15" s="8"/>
      <c r="F15" s="8"/>
      <c r="G15" s="8"/>
      <c r="H15" s="8"/>
      <c r="I15" s="9"/>
      <c r="J15" s="11" t="str">
        <f aca="false">IF(OR(I15="",C15=""),"",(I15-C15)/C15)</f>
        <v/>
      </c>
      <c r="K15" s="8" t="str">
        <f aca="false">IF(J15="","",IF(J15&gt;0,"涨",IF(J15&lt;0,"跌","平")))</f>
        <v/>
      </c>
      <c r="L15" s="8" t="str">
        <f aca="false">IF(J15="","",IF(ABS(J15)&lt;=0.003,"小",IF(ABS(J15)&lt;=0.01,"中","大")))</f>
        <v/>
      </c>
      <c r="M15" s="8" t="str">
        <f aca="false">IF(OR(D15="",K15=""),"",IF(D15=K15,"√","×"))</f>
        <v/>
      </c>
      <c r="N15" s="8" t="str">
        <f aca="false">IF(OR(E15="",L15=""),"",IF(E15=L15,"√","×"))</f>
        <v/>
      </c>
      <c r="O15" s="8"/>
      <c r="P15" s="8"/>
      <c r="Q15" s="8"/>
    </row>
    <row r="16" customFormat="false" ht="15" hidden="false" customHeight="true" outlineLevel="0" collapsed="false">
      <c r="A16" s="4"/>
      <c r="B16" s="4"/>
      <c r="C16" s="5"/>
      <c r="D16" s="4"/>
      <c r="E16" s="4"/>
      <c r="F16" s="4"/>
      <c r="G16" s="4"/>
      <c r="H16" s="4"/>
      <c r="I16" s="5"/>
      <c r="J16" s="7" t="str">
        <f aca="false">IF(OR(I16="",C16=""),"",(I16-C16)/C16)</f>
        <v/>
      </c>
      <c r="K16" s="4" t="str">
        <f aca="false">IF(J16="","",IF(J16&gt;0,"涨",IF(J16&lt;0,"跌","平")))</f>
        <v/>
      </c>
      <c r="L16" s="4" t="str">
        <f aca="false">IF(J16="","",IF(ABS(J16)&lt;=0.003,"小",IF(ABS(J16)&lt;=0.01,"中","大")))</f>
        <v/>
      </c>
      <c r="M16" s="4" t="str">
        <f aca="false">IF(OR(D16="",K16=""),"",IF(D16=K16,"√","×"))</f>
        <v/>
      </c>
      <c r="N16" s="4" t="str">
        <f aca="false">IF(OR(E16="",L16=""),"",IF(E16=L16,"√","×"))</f>
        <v/>
      </c>
      <c r="O16" s="4"/>
      <c r="P16" s="4"/>
      <c r="Q16" s="4"/>
    </row>
    <row r="17" customFormat="false" ht="15" hidden="false" customHeight="true" outlineLevel="0" collapsed="false">
      <c r="A17" s="8"/>
      <c r="B17" s="8"/>
      <c r="C17" s="9"/>
      <c r="D17" s="8"/>
      <c r="E17" s="8"/>
      <c r="F17" s="8"/>
      <c r="G17" s="8"/>
      <c r="H17" s="8"/>
      <c r="I17" s="9"/>
      <c r="J17" s="11" t="str">
        <f aca="false">IF(OR(I17="",C17=""),"",(I17-C17)/C17)</f>
        <v/>
      </c>
      <c r="K17" s="8" t="str">
        <f aca="false">IF(J17="","",IF(J17&gt;0,"涨",IF(J17&lt;0,"跌","平")))</f>
        <v/>
      </c>
      <c r="L17" s="8" t="str">
        <f aca="false">IF(J17="","",IF(ABS(J17)&lt;=0.003,"小",IF(ABS(J17)&lt;=0.01,"中","大")))</f>
        <v/>
      </c>
      <c r="M17" s="8" t="str">
        <f aca="false">IF(OR(D17="",K17=""),"",IF(D17=K17,"√","×"))</f>
        <v/>
      </c>
      <c r="N17" s="8" t="str">
        <f aca="false">IF(OR(E17="",L17=""),"",IF(E17=L17,"√","×"))</f>
        <v/>
      </c>
      <c r="O17" s="8"/>
      <c r="P17" s="8"/>
      <c r="Q17" s="8"/>
    </row>
    <row r="18" customFormat="false" ht="15" hidden="false" customHeight="true" outlineLevel="0" collapsed="false">
      <c r="A18" s="4"/>
      <c r="B18" s="4"/>
      <c r="C18" s="5"/>
      <c r="D18" s="4"/>
      <c r="E18" s="4"/>
      <c r="F18" s="4"/>
      <c r="G18" s="4"/>
      <c r="H18" s="4"/>
      <c r="I18" s="5"/>
      <c r="J18" s="7" t="str">
        <f aca="false">IF(OR(I18="",C18=""),"",(I18-C18)/C18)</f>
        <v/>
      </c>
      <c r="K18" s="4" t="str">
        <f aca="false">IF(J18="","",IF(J18&gt;0,"涨",IF(J18&lt;0,"跌","平")))</f>
        <v/>
      </c>
      <c r="L18" s="4" t="str">
        <f aca="false">IF(J18="","",IF(ABS(J18)&lt;=0.003,"小",IF(ABS(J18)&lt;=0.01,"中","大")))</f>
        <v/>
      </c>
      <c r="M18" s="4" t="str">
        <f aca="false">IF(OR(D18="",K18=""),"",IF(D18=K18,"√","×"))</f>
        <v/>
      </c>
      <c r="N18" s="4" t="str">
        <f aca="false">IF(OR(E18="",L18=""),"",IF(E18=L18,"√","×"))</f>
        <v/>
      </c>
      <c r="O18" s="4"/>
      <c r="P18" s="4"/>
      <c r="Q18" s="4"/>
    </row>
    <row r="19" customFormat="false" ht="15" hidden="false" customHeight="true" outlineLevel="0" collapsed="false">
      <c r="A19" s="8"/>
      <c r="B19" s="8"/>
      <c r="C19" s="9"/>
      <c r="D19" s="8"/>
      <c r="E19" s="8"/>
      <c r="F19" s="8"/>
      <c r="G19" s="8"/>
      <c r="H19" s="8"/>
      <c r="I19" s="9"/>
      <c r="J19" s="11" t="str">
        <f aca="false">IF(OR(I19="",C19=""),"",(I19-C19)/C19)</f>
        <v/>
      </c>
      <c r="K19" s="8" t="str">
        <f aca="false">IF(J19="","",IF(J19&gt;0,"涨",IF(J19&lt;0,"跌","平")))</f>
        <v/>
      </c>
      <c r="L19" s="8" t="str">
        <f aca="false">IF(J19="","",IF(ABS(J19)&lt;=0.003,"小",IF(ABS(J19)&lt;=0.01,"中","大")))</f>
        <v/>
      </c>
      <c r="M19" s="8" t="str">
        <f aca="false">IF(OR(D19="",K19=""),"",IF(D19=K19,"√","×"))</f>
        <v/>
      </c>
      <c r="N19" s="8" t="str">
        <f aca="false">IF(OR(E19="",L19=""),"",IF(E19=L19,"√","×"))</f>
        <v/>
      </c>
      <c r="O19" s="8"/>
      <c r="P19" s="8"/>
      <c r="Q19" s="8"/>
    </row>
    <row r="20" customFormat="false" ht="15" hidden="false" customHeight="true" outlineLevel="0" collapsed="false">
      <c r="A20" s="4"/>
      <c r="B20" s="4"/>
      <c r="C20" s="5"/>
      <c r="D20" s="4"/>
      <c r="E20" s="4"/>
      <c r="F20" s="4"/>
      <c r="G20" s="4"/>
      <c r="H20" s="4"/>
      <c r="I20" s="5"/>
      <c r="J20" s="7" t="str">
        <f aca="false">IF(OR(I20="",C20=""),"",(I20-C20)/C20)</f>
        <v/>
      </c>
      <c r="K20" s="4" t="str">
        <f aca="false">IF(J20="","",IF(J20&gt;0,"涨",IF(J20&lt;0,"跌","平")))</f>
        <v/>
      </c>
      <c r="L20" s="4" t="str">
        <f aca="false">IF(J20="","",IF(ABS(J20)&lt;=0.003,"小",IF(ABS(J20)&lt;=0.01,"中","大")))</f>
        <v/>
      </c>
      <c r="M20" s="4" t="str">
        <f aca="false">IF(OR(D20="",K20=""),"",IF(D20=K20,"√","×"))</f>
        <v/>
      </c>
      <c r="N20" s="4" t="str">
        <f aca="false">IF(OR(E20="",L20=""),"",IF(E20=L20,"√","×"))</f>
        <v/>
      </c>
      <c r="O20" s="4"/>
      <c r="P20" s="4"/>
      <c r="Q20" s="4"/>
    </row>
    <row r="21" customFormat="false" ht="15" hidden="false" customHeight="true" outlineLevel="0" collapsed="false">
      <c r="A21" s="8"/>
      <c r="B21" s="8"/>
      <c r="C21" s="9"/>
      <c r="D21" s="8"/>
      <c r="E21" s="8"/>
      <c r="F21" s="8"/>
      <c r="G21" s="8"/>
      <c r="H21" s="8"/>
      <c r="I21" s="9"/>
      <c r="J21" s="11" t="str">
        <f aca="false">IF(OR(I21="",C21=""),"",(I21-C21)/C21)</f>
        <v/>
      </c>
      <c r="K21" s="8" t="str">
        <f aca="false">IF(J21="","",IF(J21&gt;0,"涨",IF(J21&lt;0,"跌","平")))</f>
        <v/>
      </c>
      <c r="L21" s="8" t="str">
        <f aca="false">IF(J21="","",IF(ABS(J21)&lt;=0.003,"小",IF(ABS(J21)&lt;=0.01,"中","大")))</f>
        <v/>
      </c>
      <c r="M21" s="8" t="str">
        <f aca="false">IF(OR(D21="",K21=""),"",IF(D21=K21,"√","×"))</f>
        <v/>
      </c>
      <c r="N21" s="8" t="str">
        <f aca="false">IF(OR(E21="",L21=""),"",IF(E21=L21,"√","×"))</f>
        <v/>
      </c>
      <c r="O21" s="8"/>
      <c r="P21" s="8"/>
      <c r="Q21" s="8"/>
    </row>
    <row r="22" customFormat="false" ht="15" hidden="false" customHeight="true" outlineLevel="0" collapsed="false">
      <c r="A22" s="4"/>
      <c r="B22" s="4"/>
      <c r="C22" s="5"/>
      <c r="D22" s="4"/>
      <c r="E22" s="4"/>
      <c r="F22" s="4"/>
      <c r="G22" s="4"/>
      <c r="H22" s="4"/>
      <c r="I22" s="5"/>
      <c r="J22" s="7" t="str">
        <f aca="false">IF(OR(I22="",C22=""),"",(I22-C22)/C22)</f>
        <v/>
      </c>
      <c r="K22" s="4" t="str">
        <f aca="false">IF(J22="","",IF(J22&gt;0,"涨",IF(J22&lt;0,"跌","平")))</f>
        <v/>
      </c>
      <c r="L22" s="4" t="str">
        <f aca="false">IF(J22="","",IF(ABS(J22)&lt;=0.003,"小",IF(ABS(J22)&lt;=0.01,"中","大")))</f>
        <v/>
      </c>
      <c r="M22" s="4" t="str">
        <f aca="false">IF(OR(D22="",K22=""),"",IF(D22=K22,"√","×"))</f>
        <v/>
      </c>
      <c r="N22" s="4" t="str">
        <f aca="false">IF(OR(E22="",L22=""),"",IF(E22=L22,"√","×"))</f>
        <v/>
      </c>
      <c r="O22" s="4"/>
      <c r="P22" s="4"/>
      <c r="Q22" s="4"/>
    </row>
    <row r="23" customFormat="false" ht="15" hidden="false" customHeight="true" outlineLevel="0" collapsed="false">
      <c r="A23" s="8"/>
      <c r="B23" s="8"/>
      <c r="C23" s="9"/>
      <c r="D23" s="8"/>
      <c r="E23" s="8"/>
      <c r="F23" s="8"/>
      <c r="G23" s="8"/>
      <c r="H23" s="8"/>
      <c r="I23" s="9"/>
      <c r="J23" s="11" t="str">
        <f aca="false">IF(OR(I23="",C23=""),"",(I23-C23)/C23)</f>
        <v/>
      </c>
      <c r="K23" s="8" t="str">
        <f aca="false">IF(J23="","",IF(J23&gt;0,"涨",IF(J23&lt;0,"跌","平")))</f>
        <v/>
      </c>
      <c r="L23" s="8" t="str">
        <f aca="false">IF(J23="","",IF(ABS(J23)&lt;=0.003,"小",IF(ABS(J23)&lt;=0.01,"中","大")))</f>
        <v/>
      </c>
      <c r="M23" s="8" t="str">
        <f aca="false">IF(OR(D23="",K23=""),"",IF(D23=K23,"√","×"))</f>
        <v/>
      </c>
      <c r="N23" s="8" t="str">
        <f aca="false">IF(OR(E23="",L23=""),"",IF(E23=L23,"√","×"))</f>
        <v/>
      </c>
      <c r="O23" s="8"/>
      <c r="P23" s="8"/>
      <c r="Q23" s="8"/>
    </row>
    <row r="24" customFormat="false" ht="15" hidden="false" customHeight="true" outlineLevel="0" collapsed="false">
      <c r="A24" s="4"/>
      <c r="B24" s="4"/>
      <c r="C24" s="5"/>
      <c r="D24" s="4"/>
      <c r="E24" s="4"/>
      <c r="F24" s="4"/>
      <c r="G24" s="4"/>
      <c r="H24" s="4"/>
      <c r="I24" s="5"/>
      <c r="J24" s="7" t="str">
        <f aca="false">IF(OR(I24="",C24=""),"",(I24-C24)/C24)</f>
        <v/>
      </c>
      <c r="K24" s="4" t="str">
        <f aca="false">IF(J24="","",IF(J24&gt;0,"涨",IF(J24&lt;0,"跌","平")))</f>
        <v/>
      </c>
      <c r="L24" s="4" t="str">
        <f aca="false">IF(J24="","",IF(ABS(J24)&lt;=0.003,"小",IF(ABS(J24)&lt;=0.01,"中","大")))</f>
        <v/>
      </c>
      <c r="M24" s="4" t="str">
        <f aca="false">IF(OR(D24="",K24=""),"",IF(D24=K24,"√","×"))</f>
        <v/>
      </c>
      <c r="N24" s="4" t="str">
        <f aca="false">IF(OR(E24="",L24=""),"",IF(E24=L24,"√","×"))</f>
        <v/>
      </c>
      <c r="O24" s="4"/>
      <c r="P24" s="4"/>
      <c r="Q24" s="4"/>
    </row>
    <row r="25" customFormat="false" ht="15" hidden="false" customHeight="true" outlineLevel="0" collapsed="false">
      <c r="A25" s="8"/>
      <c r="B25" s="8"/>
      <c r="C25" s="9"/>
      <c r="D25" s="8"/>
      <c r="E25" s="8"/>
      <c r="F25" s="8"/>
      <c r="G25" s="8"/>
      <c r="H25" s="8"/>
      <c r="I25" s="9"/>
      <c r="J25" s="11" t="str">
        <f aca="false">IF(OR(I25="",C25=""),"",(I25-C25)/C25)</f>
        <v/>
      </c>
      <c r="K25" s="8" t="str">
        <f aca="false">IF(J25="","",IF(J25&gt;0,"涨",IF(J25&lt;0,"跌","平")))</f>
        <v/>
      </c>
      <c r="L25" s="8" t="str">
        <f aca="false">IF(J25="","",IF(ABS(J25)&lt;=0.003,"小",IF(ABS(J25)&lt;=0.01,"中","大")))</f>
        <v/>
      </c>
      <c r="M25" s="8" t="str">
        <f aca="false">IF(OR(D25="",K25=""),"",IF(D25=K25,"√","×"))</f>
        <v/>
      </c>
      <c r="N25" s="8" t="str">
        <f aca="false">IF(OR(E25="",L25=""),"",IF(E25=L25,"√","×"))</f>
        <v/>
      </c>
      <c r="O25" s="8"/>
      <c r="P25" s="8"/>
      <c r="Q25" s="8"/>
    </row>
    <row r="26" customFormat="false" ht="15" hidden="false" customHeight="true" outlineLevel="0" collapsed="false">
      <c r="A26" s="4"/>
      <c r="B26" s="4"/>
      <c r="C26" s="5"/>
      <c r="D26" s="4"/>
      <c r="E26" s="4"/>
      <c r="F26" s="4"/>
      <c r="G26" s="4"/>
      <c r="H26" s="4"/>
      <c r="I26" s="5"/>
      <c r="J26" s="7" t="str">
        <f aca="false">IF(OR(I26="",C26=""),"",(I26-C26)/C26)</f>
        <v/>
      </c>
      <c r="K26" s="4" t="str">
        <f aca="false">IF(J26="","",IF(J26&gt;0,"涨",IF(J26&lt;0,"跌","平")))</f>
        <v/>
      </c>
      <c r="L26" s="4" t="str">
        <f aca="false">IF(J26="","",IF(ABS(J26)&lt;=0.003,"小",IF(ABS(J26)&lt;=0.01,"中","大")))</f>
        <v/>
      </c>
      <c r="M26" s="4" t="str">
        <f aca="false">IF(OR(D26="",K26=""),"",IF(D26=K26,"√","×"))</f>
        <v/>
      </c>
      <c r="N26" s="4" t="str">
        <f aca="false">IF(OR(E26="",L26=""),"",IF(E26=L26,"√","×"))</f>
        <v/>
      </c>
      <c r="O26" s="4"/>
      <c r="P26" s="4"/>
      <c r="Q26" s="4"/>
    </row>
    <row r="27" customFormat="false" ht="15" hidden="false" customHeight="true" outlineLevel="0" collapsed="false">
      <c r="A27" s="8"/>
      <c r="B27" s="8"/>
      <c r="C27" s="9"/>
      <c r="D27" s="8"/>
      <c r="E27" s="8"/>
      <c r="F27" s="8"/>
      <c r="G27" s="8"/>
      <c r="H27" s="8"/>
      <c r="I27" s="9"/>
      <c r="J27" s="11" t="str">
        <f aca="false">IF(OR(I27="",C27=""),"",(I27-C27)/C27)</f>
        <v/>
      </c>
      <c r="K27" s="8" t="str">
        <f aca="false">IF(J27="","",IF(J27&gt;0,"涨",IF(J27&lt;0,"跌","平")))</f>
        <v/>
      </c>
      <c r="L27" s="8" t="str">
        <f aca="false">IF(J27="","",IF(ABS(J27)&lt;=0.003,"小",IF(ABS(J27)&lt;=0.01,"中","大")))</f>
        <v/>
      </c>
      <c r="M27" s="8" t="str">
        <f aca="false">IF(OR(D27="",K27=""),"",IF(D27=K27,"√","×"))</f>
        <v/>
      </c>
      <c r="N27" s="8" t="str">
        <f aca="false">IF(OR(E27="",L27=""),"",IF(E27=L27,"√","×"))</f>
        <v/>
      </c>
      <c r="O27" s="8"/>
      <c r="P27" s="8"/>
      <c r="Q27" s="8"/>
    </row>
    <row r="28" customFormat="false" ht="15" hidden="false" customHeight="true" outlineLevel="0" collapsed="false">
      <c r="A28" s="4"/>
      <c r="B28" s="4"/>
      <c r="C28" s="5"/>
      <c r="D28" s="4"/>
      <c r="E28" s="4"/>
      <c r="F28" s="4"/>
      <c r="G28" s="4"/>
      <c r="H28" s="4"/>
      <c r="I28" s="5"/>
      <c r="J28" s="7" t="str">
        <f aca="false">IF(OR(I28="",C28=""),"",(I28-C28)/C28)</f>
        <v/>
      </c>
      <c r="K28" s="4" t="str">
        <f aca="false">IF(J28="","",IF(J28&gt;0,"涨",IF(J28&lt;0,"跌","平")))</f>
        <v/>
      </c>
      <c r="L28" s="4" t="str">
        <f aca="false">IF(J28="","",IF(ABS(J28)&lt;=0.003,"小",IF(ABS(J28)&lt;=0.01,"中","大")))</f>
        <v/>
      </c>
      <c r="M28" s="4" t="str">
        <f aca="false">IF(OR(D28="",K28=""),"",IF(D28=K28,"√","×"))</f>
        <v/>
      </c>
      <c r="N28" s="4" t="str">
        <f aca="false">IF(OR(E28="",L28=""),"",IF(E28=L28,"√","×"))</f>
        <v/>
      </c>
      <c r="O28" s="4"/>
      <c r="P28" s="4"/>
      <c r="Q28" s="4"/>
    </row>
    <row r="29" customFormat="false" ht="15" hidden="false" customHeight="true" outlineLevel="0" collapsed="false">
      <c r="A29" s="8"/>
      <c r="B29" s="8"/>
      <c r="C29" s="9"/>
      <c r="D29" s="8"/>
      <c r="E29" s="8"/>
      <c r="F29" s="8"/>
      <c r="G29" s="8"/>
      <c r="H29" s="8"/>
      <c r="I29" s="9"/>
      <c r="J29" s="11" t="str">
        <f aca="false">IF(OR(I29="",C29=""),"",(I29-C29)/C29)</f>
        <v/>
      </c>
      <c r="K29" s="8" t="str">
        <f aca="false">IF(J29="","",IF(J29&gt;0,"涨",IF(J29&lt;0,"跌","平")))</f>
        <v/>
      </c>
      <c r="L29" s="8" t="str">
        <f aca="false">IF(J29="","",IF(ABS(J29)&lt;=0.003,"小",IF(ABS(J29)&lt;=0.01,"中","大")))</f>
        <v/>
      </c>
      <c r="M29" s="8" t="str">
        <f aca="false">IF(OR(D29="",K29=""),"",IF(D29=K29,"√","×"))</f>
        <v/>
      </c>
      <c r="N29" s="8" t="str">
        <f aca="false">IF(OR(E29="",L29=""),"",IF(E29=L29,"√","×"))</f>
        <v/>
      </c>
      <c r="O29" s="8"/>
      <c r="P29" s="8"/>
      <c r="Q29" s="8"/>
    </row>
    <row r="30" customFormat="false" ht="15" hidden="false" customHeight="true" outlineLevel="0" collapsed="false">
      <c r="A30" s="4"/>
      <c r="B30" s="4"/>
      <c r="C30" s="5"/>
      <c r="D30" s="4"/>
      <c r="E30" s="4"/>
      <c r="F30" s="4"/>
      <c r="G30" s="4"/>
      <c r="H30" s="4"/>
      <c r="I30" s="5"/>
      <c r="J30" s="7" t="str">
        <f aca="false">IF(OR(I30="",C30=""),"",(I30-C30)/C30)</f>
        <v/>
      </c>
      <c r="K30" s="4" t="str">
        <f aca="false">IF(J30="","",IF(J30&gt;0,"涨",IF(J30&lt;0,"跌","平")))</f>
        <v/>
      </c>
      <c r="L30" s="4" t="str">
        <f aca="false">IF(J30="","",IF(ABS(J30)&lt;=0.003,"小",IF(ABS(J30)&lt;=0.01,"中","大")))</f>
        <v/>
      </c>
      <c r="M30" s="4" t="str">
        <f aca="false">IF(OR(D30="",K30=""),"",IF(D30=K30,"√","×"))</f>
        <v/>
      </c>
      <c r="N30" s="4" t="str">
        <f aca="false">IF(OR(E30="",L30=""),"",IF(E30=L30,"√","×"))</f>
        <v/>
      </c>
      <c r="O30" s="4"/>
      <c r="P30" s="4"/>
      <c r="Q30" s="4"/>
    </row>
    <row r="31" customFormat="false" ht="15" hidden="false" customHeight="true" outlineLevel="0" collapsed="false">
      <c r="A31" s="8"/>
      <c r="B31" s="8"/>
      <c r="C31" s="9"/>
      <c r="D31" s="8"/>
      <c r="E31" s="8"/>
      <c r="F31" s="8"/>
      <c r="G31" s="8"/>
      <c r="H31" s="8"/>
      <c r="I31" s="9"/>
      <c r="J31" s="11" t="str">
        <f aca="false">IF(OR(I31="",C31=""),"",(I31-C31)/C31)</f>
        <v/>
      </c>
      <c r="K31" s="8" t="str">
        <f aca="false">IF(J31="","",IF(J31&gt;0,"涨",IF(J31&lt;0,"跌","平")))</f>
        <v/>
      </c>
      <c r="L31" s="8" t="str">
        <f aca="false">IF(J31="","",IF(ABS(J31)&lt;=0.003,"小",IF(ABS(J31)&lt;=0.01,"中","大")))</f>
        <v/>
      </c>
      <c r="M31" s="8" t="str">
        <f aca="false">IF(OR(D31="",K31=""),"",IF(D31=K31,"√","×"))</f>
        <v/>
      </c>
      <c r="N31" s="8" t="str">
        <f aca="false">IF(OR(E31="",L31=""),"",IF(E31=L31,"√","×"))</f>
        <v/>
      </c>
      <c r="O31" s="8"/>
      <c r="P31" s="8"/>
      <c r="Q31" s="8"/>
    </row>
    <row r="32" customFormat="false" ht="15" hidden="false" customHeight="true" outlineLevel="0" collapsed="false">
      <c r="A32" s="4"/>
      <c r="B32" s="4"/>
      <c r="C32" s="5"/>
      <c r="D32" s="4"/>
      <c r="E32" s="4"/>
      <c r="F32" s="4"/>
      <c r="G32" s="4"/>
      <c r="H32" s="4"/>
      <c r="I32" s="5"/>
      <c r="J32" s="7" t="str">
        <f aca="false">IF(OR(I32="",C32=""),"",(I32-C32)/C32)</f>
        <v/>
      </c>
      <c r="K32" s="4" t="str">
        <f aca="false">IF(J32="","",IF(J32&gt;0,"涨",IF(J32&lt;0,"跌","平")))</f>
        <v/>
      </c>
      <c r="L32" s="4" t="str">
        <f aca="false">IF(J32="","",IF(ABS(J32)&lt;=0.003,"小",IF(ABS(J32)&lt;=0.01,"中","大")))</f>
        <v/>
      </c>
      <c r="M32" s="4" t="str">
        <f aca="false">IF(OR(D32="",K32=""),"",IF(D32=K32,"√","×"))</f>
        <v/>
      </c>
      <c r="N32" s="4" t="str">
        <f aca="false">IF(OR(E32="",L32=""),"",IF(E32=L32,"√","×"))</f>
        <v/>
      </c>
      <c r="O32" s="4"/>
      <c r="P32" s="4"/>
      <c r="Q32" s="4"/>
    </row>
    <row r="33" customFormat="false" ht="15" hidden="false" customHeight="true" outlineLevel="0" collapsed="false">
      <c r="A33" s="8"/>
      <c r="B33" s="8"/>
      <c r="C33" s="9"/>
      <c r="D33" s="8"/>
      <c r="E33" s="8"/>
      <c r="F33" s="8"/>
      <c r="G33" s="8"/>
      <c r="H33" s="8"/>
      <c r="I33" s="9"/>
      <c r="J33" s="11" t="str">
        <f aca="false">IF(OR(I33="",C33=""),"",(I33-C33)/C33)</f>
        <v/>
      </c>
      <c r="K33" s="8" t="str">
        <f aca="false">IF(J33="","",IF(J33&gt;0,"涨",IF(J33&lt;0,"跌","平")))</f>
        <v/>
      </c>
      <c r="L33" s="8" t="str">
        <f aca="false">IF(J33="","",IF(ABS(J33)&lt;=0.003,"小",IF(ABS(J33)&lt;=0.01,"中","大")))</f>
        <v/>
      </c>
      <c r="M33" s="8" t="str">
        <f aca="false">IF(OR(D33="",K33=""),"",IF(D33=K33,"√","×"))</f>
        <v/>
      </c>
      <c r="N33" s="8" t="str">
        <f aca="false">IF(OR(E33="",L33=""),"",IF(E33=L33,"√","×"))</f>
        <v/>
      </c>
      <c r="O33" s="8"/>
      <c r="P33" s="8"/>
      <c r="Q33" s="8"/>
    </row>
    <row r="34" customFormat="false" ht="15" hidden="false" customHeight="true" outlineLevel="0" collapsed="false">
      <c r="A34" s="4"/>
      <c r="B34" s="4"/>
      <c r="C34" s="5"/>
      <c r="D34" s="4"/>
      <c r="E34" s="4"/>
      <c r="F34" s="4"/>
      <c r="G34" s="4"/>
      <c r="H34" s="4"/>
      <c r="I34" s="5"/>
      <c r="J34" s="7" t="str">
        <f aca="false">IF(OR(I34="",C34=""),"",(I34-C34)/C34)</f>
        <v/>
      </c>
      <c r="K34" s="4" t="str">
        <f aca="false">IF(J34="","",IF(J34&gt;0,"涨",IF(J34&lt;0,"跌","平")))</f>
        <v/>
      </c>
      <c r="L34" s="4" t="str">
        <f aca="false">IF(J34="","",IF(ABS(J34)&lt;=0.003,"小",IF(ABS(J34)&lt;=0.01,"中","大")))</f>
        <v/>
      </c>
      <c r="M34" s="4" t="str">
        <f aca="false">IF(OR(D34="",K34=""),"",IF(D34=K34,"√","×"))</f>
        <v/>
      </c>
      <c r="N34" s="4" t="str">
        <f aca="false">IF(OR(E34="",L34=""),"",IF(E34=L34,"√","×"))</f>
        <v/>
      </c>
      <c r="O34" s="4"/>
      <c r="P34" s="4"/>
      <c r="Q34" s="4"/>
    </row>
    <row r="35" customFormat="false" ht="15" hidden="false" customHeight="true" outlineLevel="0" collapsed="false">
      <c r="A35" s="8"/>
      <c r="B35" s="8"/>
      <c r="C35" s="9"/>
      <c r="D35" s="8"/>
      <c r="E35" s="8"/>
      <c r="F35" s="8"/>
      <c r="G35" s="8"/>
      <c r="H35" s="8"/>
      <c r="I35" s="9"/>
      <c r="J35" s="11" t="str">
        <f aca="false">IF(OR(I35="",C35=""),"",(I35-C35)/C35)</f>
        <v/>
      </c>
      <c r="K35" s="8" t="str">
        <f aca="false">IF(J35="","",IF(J35&gt;0,"涨",IF(J35&lt;0,"跌","平")))</f>
        <v/>
      </c>
      <c r="L35" s="8" t="str">
        <f aca="false">IF(J35="","",IF(ABS(J35)&lt;=0.003,"小",IF(ABS(J35)&lt;=0.01,"中","大")))</f>
        <v/>
      </c>
      <c r="M35" s="8" t="str">
        <f aca="false">IF(OR(D35="",K35=""),"",IF(D35=K35,"√","×"))</f>
        <v/>
      </c>
      <c r="N35" s="8" t="str">
        <f aca="false">IF(OR(E35="",L35=""),"",IF(E35=L35,"√","×"))</f>
        <v/>
      </c>
      <c r="O35" s="8"/>
      <c r="P35" s="8"/>
      <c r="Q35" s="8"/>
    </row>
    <row r="36" customFormat="false" ht="15" hidden="false" customHeight="true" outlineLevel="0" collapsed="false">
      <c r="A36" s="4"/>
      <c r="B36" s="4"/>
      <c r="C36" s="5"/>
      <c r="D36" s="4"/>
      <c r="E36" s="4"/>
      <c r="F36" s="4"/>
      <c r="G36" s="4"/>
      <c r="H36" s="4"/>
      <c r="I36" s="5"/>
      <c r="J36" s="7" t="str">
        <f aca="false">IF(OR(I36="",C36=""),"",(I36-C36)/C36)</f>
        <v/>
      </c>
      <c r="K36" s="4" t="str">
        <f aca="false">IF(J36="","",IF(J36&gt;0,"涨",IF(J36&lt;0,"跌","平")))</f>
        <v/>
      </c>
      <c r="L36" s="4" t="str">
        <f aca="false">IF(J36="","",IF(ABS(J36)&lt;=0.003,"小",IF(ABS(J36)&lt;=0.01,"中","大")))</f>
        <v/>
      </c>
      <c r="M36" s="4" t="str">
        <f aca="false">IF(OR(D36="",K36=""),"",IF(D36=K36,"√","×"))</f>
        <v/>
      </c>
      <c r="N36" s="4" t="str">
        <f aca="false">IF(OR(E36="",L36=""),"",IF(E36=L36,"√","×"))</f>
        <v/>
      </c>
      <c r="O36" s="4"/>
      <c r="P36" s="4"/>
      <c r="Q36" s="4"/>
    </row>
    <row r="37" customFormat="false" ht="15" hidden="false" customHeight="true" outlineLevel="0" collapsed="false">
      <c r="A37" s="8"/>
      <c r="B37" s="8"/>
      <c r="C37" s="9"/>
      <c r="D37" s="8"/>
      <c r="E37" s="8"/>
      <c r="F37" s="8"/>
      <c r="G37" s="8"/>
      <c r="H37" s="8"/>
      <c r="I37" s="9"/>
      <c r="J37" s="11" t="str">
        <f aca="false">IF(OR(I37="",C37=""),"",(I37-C37)/C37)</f>
        <v/>
      </c>
      <c r="K37" s="8" t="str">
        <f aca="false">IF(J37="","",IF(J37&gt;0,"涨",IF(J37&lt;0,"跌","平")))</f>
        <v/>
      </c>
      <c r="L37" s="8" t="str">
        <f aca="false">IF(J37="","",IF(ABS(J37)&lt;=0.003,"小",IF(ABS(J37)&lt;=0.01,"中","大")))</f>
        <v/>
      </c>
      <c r="M37" s="8" t="str">
        <f aca="false">IF(OR(D37="",K37=""),"",IF(D37=K37,"√","×"))</f>
        <v/>
      </c>
      <c r="N37" s="8" t="str">
        <f aca="false">IF(OR(E37="",L37=""),"",IF(E37=L37,"√","×"))</f>
        <v/>
      </c>
      <c r="O37" s="8"/>
      <c r="P37" s="8"/>
      <c r="Q37" s="8"/>
    </row>
    <row r="38" customFormat="false" ht="15" hidden="false" customHeight="true" outlineLevel="0" collapsed="false">
      <c r="A38" s="4"/>
      <c r="B38" s="4"/>
      <c r="C38" s="5"/>
      <c r="D38" s="4"/>
      <c r="E38" s="4"/>
      <c r="F38" s="4"/>
      <c r="G38" s="4"/>
      <c r="H38" s="4"/>
      <c r="I38" s="5"/>
      <c r="J38" s="7" t="str">
        <f aca="false">IF(OR(I38="",C38=""),"",(I38-C38)/C38)</f>
        <v/>
      </c>
      <c r="K38" s="4" t="str">
        <f aca="false">IF(J38="","",IF(J38&gt;0,"涨",IF(J38&lt;0,"跌","平")))</f>
        <v/>
      </c>
      <c r="L38" s="4" t="str">
        <f aca="false">IF(J38="","",IF(ABS(J38)&lt;=0.003,"小",IF(ABS(J38)&lt;=0.01,"中","大")))</f>
        <v/>
      </c>
      <c r="M38" s="4" t="str">
        <f aca="false">IF(OR(D38="",K38=""),"",IF(D38=K38,"√","×"))</f>
        <v/>
      </c>
      <c r="N38" s="4" t="str">
        <f aca="false">IF(OR(E38="",L38=""),"",IF(E38=L38,"√","×"))</f>
        <v/>
      </c>
      <c r="O38" s="4"/>
      <c r="P38" s="4"/>
      <c r="Q38" s="4"/>
    </row>
    <row r="39" customFormat="false" ht="15" hidden="false" customHeight="true" outlineLevel="0" collapsed="false">
      <c r="A39" s="8"/>
      <c r="B39" s="8"/>
      <c r="C39" s="9"/>
      <c r="D39" s="8"/>
      <c r="E39" s="8"/>
      <c r="F39" s="8"/>
      <c r="G39" s="8"/>
      <c r="H39" s="8"/>
      <c r="I39" s="9"/>
      <c r="J39" s="11" t="str">
        <f aca="false">IF(OR(I39="",C39=""),"",(I39-C39)/C39)</f>
        <v/>
      </c>
      <c r="K39" s="8" t="str">
        <f aca="false">IF(J39="","",IF(J39&gt;0,"涨",IF(J39&lt;0,"跌","平")))</f>
        <v/>
      </c>
      <c r="L39" s="8" t="str">
        <f aca="false">IF(J39="","",IF(ABS(J39)&lt;=0.003,"小",IF(ABS(J39)&lt;=0.01,"中","大")))</f>
        <v/>
      </c>
      <c r="M39" s="8" t="str">
        <f aca="false">IF(OR(D39="",K39=""),"",IF(D39=K39,"√","×"))</f>
        <v/>
      </c>
      <c r="N39" s="8" t="str">
        <f aca="false">IF(OR(E39="",L39=""),"",IF(E39=L39,"√","×"))</f>
        <v/>
      </c>
      <c r="O39" s="8"/>
      <c r="P39" s="8"/>
      <c r="Q39" s="8"/>
    </row>
    <row r="40" customFormat="false" ht="15" hidden="false" customHeight="true" outlineLevel="0" collapsed="false">
      <c r="A40" s="4"/>
      <c r="B40" s="4"/>
      <c r="C40" s="5"/>
      <c r="D40" s="4"/>
      <c r="E40" s="4"/>
      <c r="F40" s="4"/>
      <c r="G40" s="4"/>
      <c r="H40" s="4"/>
      <c r="I40" s="5"/>
      <c r="J40" s="7" t="str">
        <f aca="false">IF(OR(I40="",C40=""),"",(I40-C40)/C40)</f>
        <v/>
      </c>
      <c r="K40" s="4" t="str">
        <f aca="false">IF(J40="","",IF(J40&gt;0,"涨",IF(J40&lt;0,"跌","平")))</f>
        <v/>
      </c>
      <c r="L40" s="4" t="str">
        <f aca="false">IF(J40="","",IF(ABS(J40)&lt;=0.003,"小",IF(ABS(J40)&lt;=0.01,"中","大")))</f>
        <v/>
      </c>
      <c r="M40" s="4" t="str">
        <f aca="false">IF(OR(D40="",K40=""),"",IF(D40=K40,"√","×"))</f>
        <v/>
      </c>
      <c r="N40" s="4" t="str">
        <f aca="false">IF(OR(E40="",L40=""),"",IF(E40=L40,"√","×"))</f>
        <v/>
      </c>
      <c r="O40" s="4"/>
      <c r="P40" s="4"/>
      <c r="Q40" s="4"/>
    </row>
    <row r="41" customFormat="false" ht="15" hidden="false" customHeight="true" outlineLevel="0" collapsed="false">
      <c r="A41" s="8"/>
      <c r="B41" s="8"/>
      <c r="C41" s="9"/>
      <c r="D41" s="8"/>
      <c r="E41" s="8"/>
      <c r="F41" s="8"/>
      <c r="G41" s="8"/>
      <c r="H41" s="8"/>
      <c r="I41" s="9"/>
      <c r="J41" s="11" t="str">
        <f aca="false">IF(OR(I41="",C41=""),"",(I41-C41)/C41)</f>
        <v/>
      </c>
      <c r="K41" s="8" t="str">
        <f aca="false">IF(J41="","",IF(J41&gt;0,"涨",IF(J41&lt;0,"跌","平")))</f>
        <v/>
      </c>
      <c r="L41" s="8" t="str">
        <f aca="false">IF(J41="","",IF(ABS(J41)&lt;=0.003,"小",IF(ABS(J41)&lt;=0.01,"中","大")))</f>
        <v/>
      </c>
      <c r="M41" s="8" t="str">
        <f aca="false">IF(OR(D41="",K41=""),"",IF(D41=K41,"√","×"))</f>
        <v/>
      </c>
      <c r="N41" s="8" t="str">
        <f aca="false">IF(OR(E41="",L41=""),"",IF(E41=L41,"√","×"))</f>
        <v/>
      </c>
      <c r="O41" s="8"/>
      <c r="P41" s="8"/>
      <c r="Q41" s="8"/>
    </row>
    <row r="42" customFormat="false" ht="15" hidden="false" customHeight="true" outlineLevel="0" collapsed="false">
      <c r="A42" s="4"/>
      <c r="B42" s="4"/>
      <c r="C42" s="5"/>
      <c r="D42" s="4"/>
      <c r="E42" s="4"/>
      <c r="F42" s="4"/>
      <c r="G42" s="4"/>
      <c r="H42" s="4"/>
      <c r="I42" s="5"/>
      <c r="J42" s="7" t="str">
        <f aca="false">IF(OR(I42="",C42=""),"",(I42-C42)/C42)</f>
        <v/>
      </c>
      <c r="K42" s="4" t="str">
        <f aca="false">IF(J42="","",IF(J42&gt;0,"涨",IF(J42&lt;0,"跌","平")))</f>
        <v/>
      </c>
      <c r="L42" s="4" t="str">
        <f aca="false">IF(J42="","",IF(ABS(J42)&lt;=0.003,"小",IF(ABS(J42)&lt;=0.01,"中","大")))</f>
        <v/>
      </c>
      <c r="M42" s="4" t="str">
        <f aca="false">IF(OR(D42="",K42=""),"",IF(D42=K42,"√","×"))</f>
        <v/>
      </c>
      <c r="N42" s="4" t="str">
        <f aca="false">IF(OR(E42="",L42=""),"",IF(E42=L42,"√","×"))</f>
        <v/>
      </c>
      <c r="O42" s="4"/>
      <c r="P42" s="4"/>
      <c r="Q42" s="4"/>
    </row>
    <row r="43" customFormat="false" ht="15" hidden="false" customHeight="true" outlineLevel="0" collapsed="false">
      <c r="A43" s="8"/>
      <c r="B43" s="8"/>
      <c r="C43" s="9"/>
      <c r="D43" s="8"/>
      <c r="E43" s="8"/>
      <c r="F43" s="8"/>
      <c r="G43" s="8"/>
      <c r="H43" s="8"/>
      <c r="I43" s="9"/>
      <c r="J43" s="11" t="str">
        <f aca="false">IF(OR(I43="",C43=""),"",(I43-C43)/C43)</f>
        <v/>
      </c>
      <c r="K43" s="8" t="str">
        <f aca="false">IF(J43="","",IF(J43&gt;0,"涨",IF(J43&lt;0,"跌","平")))</f>
        <v/>
      </c>
      <c r="L43" s="8" t="str">
        <f aca="false">IF(J43="","",IF(ABS(J43)&lt;=0.003,"小",IF(ABS(J43)&lt;=0.01,"中","大")))</f>
        <v/>
      </c>
      <c r="M43" s="8" t="str">
        <f aca="false">IF(OR(D43="",K43=""),"",IF(D43=K43,"√","×"))</f>
        <v/>
      </c>
      <c r="N43" s="8" t="str">
        <f aca="false">IF(OR(E43="",L43=""),"",IF(E43=L43,"√","×"))</f>
        <v/>
      </c>
      <c r="O43" s="8"/>
      <c r="P43" s="8"/>
      <c r="Q43" s="8"/>
    </row>
    <row r="44" customFormat="false" ht="15" hidden="false" customHeight="true" outlineLevel="0" collapsed="false">
      <c r="A44" s="4"/>
      <c r="B44" s="4"/>
      <c r="C44" s="5"/>
      <c r="D44" s="4"/>
      <c r="E44" s="4"/>
      <c r="F44" s="4"/>
      <c r="G44" s="4"/>
      <c r="H44" s="4"/>
      <c r="I44" s="5"/>
      <c r="J44" s="7" t="str">
        <f aca="false">IF(OR(I44="",C44=""),"",(I44-C44)/C44)</f>
        <v/>
      </c>
      <c r="K44" s="4" t="str">
        <f aca="false">IF(J44="","",IF(J44&gt;0,"涨",IF(J44&lt;0,"跌","平")))</f>
        <v/>
      </c>
      <c r="L44" s="4" t="str">
        <f aca="false">IF(J44="","",IF(ABS(J44)&lt;=0.003,"小",IF(ABS(J44)&lt;=0.01,"中","大")))</f>
        <v/>
      </c>
      <c r="M44" s="4" t="str">
        <f aca="false">IF(OR(D44="",K44=""),"",IF(D44=K44,"√","×"))</f>
        <v/>
      </c>
      <c r="N44" s="4" t="str">
        <f aca="false">IF(OR(E44="",L44=""),"",IF(E44=L44,"√","×"))</f>
        <v/>
      </c>
      <c r="O44" s="4"/>
      <c r="P44" s="4"/>
      <c r="Q44" s="4"/>
    </row>
    <row r="45" customFormat="false" ht="15" hidden="false" customHeight="true" outlineLevel="0" collapsed="false">
      <c r="A45" s="8"/>
      <c r="B45" s="8"/>
      <c r="C45" s="9"/>
      <c r="D45" s="8"/>
      <c r="E45" s="8"/>
      <c r="F45" s="8"/>
      <c r="G45" s="8"/>
      <c r="H45" s="8"/>
      <c r="I45" s="9"/>
      <c r="J45" s="11" t="str">
        <f aca="false">IF(OR(I45="",C45=""),"",(I45-C45)/C45)</f>
        <v/>
      </c>
      <c r="K45" s="8" t="str">
        <f aca="false">IF(J45="","",IF(J45&gt;0,"涨",IF(J45&lt;0,"跌","平")))</f>
        <v/>
      </c>
      <c r="L45" s="8" t="str">
        <f aca="false">IF(J45="","",IF(ABS(J45)&lt;=0.003,"小",IF(ABS(J45)&lt;=0.01,"中","大")))</f>
        <v/>
      </c>
      <c r="M45" s="8" t="str">
        <f aca="false">IF(OR(D45="",K45=""),"",IF(D45=K45,"√","×"))</f>
        <v/>
      </c>
      <c r="N45" s="8" t="str">
        <f aca="false">IF(OR(E45="",L45=""),"",IF(E45=L45,"√","×"))</f>
        <v/>
      </c>
      <c r="O45" s="8"/>
      <c r="P45" s="8"/>
      <c r="Q45" s="8"/>
    </row>
    <row r="46" customFormat="false" ht="15" hidden="false" customHeight="true" outlineLevel="0" collapsed="false">
      <c r="A46" s="4"/>
      <c r="B46" s="4"/>
      <c r="C46" s="5"/>
      <c r="D46" s="4"/>
      <c r="E46" s="4"/>
      <c r="F46" s="4"/>
      <c r="G46" s="4"/>
      <c r="H46" s="4"/>
      <c r="I46" s="5"/>
      <c r="J46" s="7" t="str">
        <f aca="false">IF(OR(I46="",C46=""),"",(I46-C46)/C46)</f>
        <v/>
      </c>
      <c r="K46" s="4" t="str">
        <f aca="false">IF(J46="","",IF(J46&gt;0,"涨",IF(J46&lt;0,"跌","平")))</f>
        <v/>
      </c>
      <c r="L46" s="4" t="str">
        <f aca="false">IF(J46="","",IF(ABS(J46)&lt;=0.003,"小",IF(ABS(J46)&lt;=0.01,"中","大")))</f>
        <v/>
      </c>
      <c r="M46" s="4" t="str">
        <f aca="false">IF(OR(D46="",K46=""),"",IF(D46=K46,"√","×"))</f>
        <v/>
      </c>
      <c r="N46" s="4" t="str">
        <f aca="false">IF(OR(E46="",L46=""),"",IF(E46=L46,"√","×"))</f>
        <v/>
      </c>
      <c r="O46" s="4"/>
      <c r="P46" s="4"/>
      <c r="Q46" s="4"/>
    </row>
    <row r="47" customFormat="false" ht="15" hidden="false" customHeight="true" outlineLevel="0" collapsed="false">
      <c r="A47" s="8"/>
      <c r="B47" s="8"/>
      <c r="C47" s="9"/>
      <c r="D47" s="8"/>
      <c r="E47" s="8"/>
      <c r="F47" s="8"/>
      <c r="G47" s="8"/>
      <c r="H47" s="8"/>
      <c r="I47" s="9"/>
      <c r="J47" s="11" t="str">
        <f aca="false">IF(OR(I47="",C47=""),"",(I47-C47)/C47)</f>
        <v/>
      </c>
      <c r="K47" s="8" t="str">
        <f aca="false">IF(J47="","",IF(J47&gt;0,"涨",IF(J47&lt;0,"跌","平")))</f>
        <v/>
      </c>
      <c r="L47" s="8" t="str">
        <f aca="false">IF(J47="","",IF(ABS(J47)&lt;=0.003,"小",IF(ABS(J47)&lt;=0.01,"中","大")))</f>
        <v/>
      </c>
      <c r="M47" s="8" t="str">
        <f aca="false">IF(OR(D47="",K47=""),"",IF(D47=K47,"√","×"))</f>
        <v/>
      </c>
      <c r="N47" s="8" t="str">
        <f aca="false">IF(OR(E47="",L47=""),"",IF(E47=L47,"√","×"))</f>
        <v/>
      </c>
      <c r="O47" s="8"/>
      <c r="P47" s="8"/>
      <c r="Q47" s="8"/>
    </row>
    <row r="48" customFormat="false" ht="15" hidden="false" customHeight="true" outlineLevel="0" collapsed="false">
      <c r="A48" s="4"/>
      <c r="B48" s="4"/>
      <c r="C48" s="5"/>
      <c r="D48" s="4"/>
      <c r="E48" s="4"/>
      <c r="F48" s="4"/>
      <c r="G48" s="4"/>
      <c r="H48" s="4"/>
      <c r="I48" s="5"/>
      <c r="J48" s="7" t="str">
        <f aca="false">IF(OR(I48="",C48=""),"",(I48-C48)/C48)</f>
        <v/>
      </c>
      <c r="K48" s="4" t="str">
        <f aca="false">IF(J48="","",IF(J48&gt;0,"涨",IF(J48&lt;0,"跌","平")))</f>
        <v/>
      </c>
      <c r="L48" s="4" t="str">
        <f aca="false">IF(J48="","",IF(ABS(J48)&lt;=0.003,"小",IF(ABS(J48)&lt;=0.01,"中","大")))</f>
        <v/>
      </c>
      <c r="M48" s="4" t="str">
        <f aca="false">IF(OR(D48="",K48=""),"",IF(D48=K48,"√","×"))</f>
        <v/>
      </c>
      <c r="N48" s="4" t="str">
        <f aca="false">IF(OR(E48="",L48=""),"",IF(E48=L48,"√","×"))</f>
        <v/>
      </c>
      <c r="O48" s="4"/>
      <c r="P48" s="4"/>
      <c r="Q48" s="4"/>
    </row>
    <row r="49" customFormat="false" ht="15" hidden="false" customHeight="true" outlineLevel="0" collapsed="false">
      <c r="A49" s="8"/>
      <c r="B49" s="8"/>
      <c r="C49" s="9"/>
      <c r="D49" s="8"/>
      <c r="E49" s="8"/>
      <c r="F49" s="8"/>
      <c r="G49" s="8"/>
      <c r="H49" s="8"/>
      <c r="I49" s="9"/>
      <c r="J49" s="11" t="str">
        <f aca="false">IF(OR(I49="",C49=""),"",(I49-C49)/C49)</f>
        <v/>
      </c>
      <c r="K49" s="8" t="str">
        <f aca="false">IF(J49="","",IF(J49&gt;0,"涨",IF(J49&lt;0,"跌","平")))</f>
        <v/>
      </c>
      <c r="L49" s="8" t="str">
        <f aca="false">IF(J49="","",IF(ABS(J49)&lt;=0.003,"小",IF(ABS(J49)&lt;=0.01,"中","大")))</f>
        <v/>
      </c>
      <c r="M49" s="8" t="str">
        <f aca="false">IF(OR(D49="",K49=""),"",IF(D49=K49,"√","×"))</f>
        <v/>
      </c>
      <c r="N49" s="8" t="str">
        <f aca="false">IF(OR(E49="",L49=""),"",IF(E49=L49,"√","×"))</f>
        <v/>
      </c>
      <c r="O49" s="8"/>
      <c r="P49" s="8"/>
      <c r="Q49" s="8"/>
    </row>
    <row r="50" customFormat="false" ht="15" hidden="false" customHeight="true" outlineLevel="0" collapsed="false">
      <c r="A50" s="4"/>
      <c r="B50" s="4"/>
      <c r="C50" s="5"/>
      <c r="D50" s="4"/>
      <c r="E50" s="4"/>
      <c r="F50" s="4"/>
      <c r="G50" s="4"/>
      <c r="H50" s="4"/>
      <c r="I50" s="5"/>
      <c r="J50" s="7" t="str">
        <f aca="false">IF(OR(I50="",C50=""),"",(I50-C50)/C50)</f>
        <v/>
      </c>
      <c r="K50" s="4" t="str">
        <f aca="false">IF(J50="","",IF(J50&gt;0,"涨",IF(J50&lt;0,"跌","平")))</f>
        <v/>
      </c>
      <c r="L50" s="4" t="str">
        <f aca="false">IF(J50="","",IF(ABS(J50)&lt;=0.003,"小",IF(ABS(J50)&lt;=0.01,"中","大")))</f>
        <v/>
      </c>
      <c r="M50" s="4" t="str">
        <f aca="false">IF(OR(D50="",K50=""),"",IF(D50=K50,"√","×"))</f>
        <v/>
      </c>
      <c r="N50" s="4" t="str">
        <f aca="false">IF(OR(E50="",L50=""),"",IF(E50=L50,"√","×"))</f>
        <v/>
      </c>
      <c r="O50" s="4"/>
      <c r="P50" s="4"/>
      <c r="Q50" s="4"/>
    </row>
    <row r="51" customFormat="false" ht="15" hidden="false" customHeight="true" outlineLevel="0" collapsed="false">
      <c r="A51" s="8"/>
      <c r="B51" s="8"/>
      <c r="C51" s="9"/>
      <c r="D51" s="8"/>
      <c r="E51" s="8"/>
      <c r="F51" s="8"/>
      <c r="G51" s="8"/>
      <c r="H51" s="8"/>
      <c r="I51" s="9"/>
      <c r="J51" s="11" t="str">
        <f aca="false">IF(OR(I51="",C51=""),"",(I51-C51)/C51)</f>
        <v/>
      </c>
      <c r="K51" s="8" t="str">
        <f aca="false">IF(J51="","",IF(J51&gt;0,"涨",IF(J51&lt;0,"跌","平")))</f>
        <v/>
      </c>
      <c r="L51" s="8" t="str">
        <f aca="false">IF(J51="","",IF(ABS(J51)&lt;=0.003,"小",IF(ABS(J51)&lt;=0.01,"中","大")))</f>
        <v/>
      </c>
      <c r="M51" s="8" t="str">
        <f aca="false">IF(OR(D51="",K51=""),"",IF(D51=K51,"√","×"))</f>
        <v/>
      </c>
      <c r="N51" s="8" t="str">
        <f aca="false">IF(OR(E51="",L51=""),"",IF(E51=L51,"√","×"))</f>
        <v/>
      </c>
      <c r="O51" s="8"/>
      <c r="P51" s="8"/>
      <c r="Q51" s="8"/>
    </row>
    <row r="52" customFormat="false" ht="15" hidden="false" customHeight="true" outlineLevel="0" collapsed="false">
      <c r="A52" s="4"/>
      <c r="B52" s="4"/>
      <c r="C52" s="5"/>
      <c r="D52" s="4"/>
      <c r="E52" s="4"/>
      <c r="F52" s="4"/>
      <c r="G52" s="4"/>
      <c r="H52" s="4"/>
      <c r="I52" s="5"/>
      <c r="J52" s="7" t="str">
        <f aca="false">IF(OR(I52="",C52=""),"",(I52-C52)/C52)</f>
        <v/>
      </c>
      <c r="K52" s="4" t="str">
        <f aca="false">IF(J52="","",IF(J52&gt;0,"涨",IF(J52&lt;0,"跌","平")))</f>
        <v/>
      </c>
      <c r="L52" s="4" t="str">
        <f aca="false">IF(J52="","",IF(ABS(J52)&lt;=0.003,"小",IF(ABS(J52)&lt;=0.01,"中","大")))</f>
        <v/>
      </c>
      <c r="M52" s="4" t="str">
        <f aca="false">IF(OR(D52="",K52=""),"",IF(D52=K52,"√","×"))</f>
        <v/>
      </c>
      <c r="N52" s="4" t="str">
        <f aca="false">IF(OR(E52="",L52=""),"",IF(E52=L52,"√","×"))</f>
        <v/>
      </c>
      <c r="O52" s="4"/>
      <c r="P52" s="4"/>
      <c r="Q52" s="4"/>
    </row>
    <row r="53" customFormat="false" ht="15" hidden="false" customHeight="true" outlineLevel="0" collapsed="false">
      <c r="A53" s="8"/>
      <c r="B53" s="8"/>
      <c r="C53" s="9"/>
      <c r="D53" s="8"/>
      <c r="E53" s="8"/>
      <c r="F53" s="8"/>
      <c r="G53" s="8"/>
      <c r="H53" s="8"/>
      <c r="I53" s="9"/>
      <c r="J53" s="11" t="str">
        <f aca="false">IF(OR(I53="",C53=""),"",(I53-C53)/C53)</f>
        <v/>
      </c>
      <c r="K53" s="8" t="str">
        <f aca="false">IF(J53="","",IF(J53&gt;0,"涨",IF(J53&lt;0,"跌","平")))</f>
        <v/>
      </c>
      <c r="L53" s="8" t="str">
        <f aca="false">IF(J53="","",IF(ABS(J53)&lt;=0.003,"小",IF(ABS(J53)&lt;=0.01,"中","大")))</f>
        <v/>
      </c>
      <c r="M53" s="8" t="str">
        <f aca="false">IF(OR(D53="",K53=""),"",IF(D53=K53,"√","×"))</f>
        <v/>
      </c>
      <c r="N53" s="8" t="str">
        <f aca="false">IF(OR(E53="",L53=""),"",IF(E53=L53,"√","×"))</f>
        <v/>
      </c>
      <c r="O53" s="8"/>
      <c r="P53" s="8"/>
      <c r="Q53" s="8"/>
    </row>
    <row r="54" customFormat="false" ht="15" hidden="false" customHeight="true" outlineLevel="0" collapsed="false">
      <c r="A54" s="4"/>
      <c r="B54" s="4"/>
      <c r="C54" s="5"/>
      <c r="D54" s="4"/>
      <c r="E54" s="4"/>
      <c r="F54" s="4"/>
      <c r="G54" s="4"/>
      <c r="H54" s="4"/>
      <c r="I54" s="5"/>
      <c r="J54" s="7" t="str">
        <f aca="false">IF(OR(I54="",C54=""),"",(I54-C54)/C54)</f>
        <v/>
      </c>
      <c r="K54" s="4" t="str">
        <f aca="false">IF(J54="","",IF(J54&gt;0,"涨",IF(J54&lt;0,"跌","平")))</f>
        <v/>
      </c>
      <c r="L54" s="4" t="str">
        <f aca="false">IF(J54="","",IF(ABS(J54)&lt;=0.003,"小",IF(ABS(J54)&lt;=0.01,"中","大")))</f>
        <v/>
      </c>
      <c r="M54" s="4" t="str">
        <f aca="false">IF(OR(D54="",K54=""),"",IF(D54=K54,"√","×"))</f>
        <v/>
      </c>
      <c r="N54" s="4" t="str">
        <f aca="false">IF(OR(E54="",L54=""),"",IF(E54=L54,"√","×"))</f>
        <v/>
      </c>
      <c r="O54" s="4"/>
      <c r="P54" s="4"/>
      <c r="Q54" s="4"/>
    </row>
    <row r="55" customFormat="false" ht="15" hidden="false" customHeight="true" outlineLevel="0" collapsed="false">
      <c r="A55" s="8"/>
      <c r="B55" s="8"/>
      <c r="C55" s="9"/>
      <c r="D55" s="8"/>
      <c r="E55" s="8"/>
      <c r="F55" s="8"/>
      <c r="G55" s="8"/>
      <c r="H55" s="8"/>
      <c r="I55" s="9"/>
      <c r="J55" s="11" t="str">
        <f aca="false">IF(OR(I55="",C55=""),"",(I55-C55)/C55)</f>
        <v/>
      </c>
      <c r="K55" s="8" t="str">
        <f aca="false">IF(J55="","",IF(J55&gt;0,"涨",IF(J55&lt;0,"跌","平")))</f>
        <v/>
      </c>
      <c r="L55" s="8" t="str">
        <f aca="false">IF(J55="","",IF(ABS(J55)&lt;=0.003,"小",IF(ABS(J55)&lt;=0.01,"中","大")))</f>
        <v/>
      </c>
      <c r="M55" s="8" t="str">
        <f aca="false">IF(OR(D55="",K55=""),"",IF(D55=K55,"√","×"))</f>
        <v/>
      </c>
      <c r="N55" s="8" t="str">
        <f aca="false">IF(OR(E55="",L55=""),"",IF(E55=L55,"√","×"))</f>
        <v/>
      </c>
      <c r="O55" s="8"/>
      <c r="P55" s="8"/>
      <c r="Q55" s="8"/>
    </row>
    <row r="56" customFormat="false" ht="15" hidden="false" customHeight="true" outlineLevel="0" collapsed="false">
      <c r="A56" s="4"/>
      <c r="B56" s="4"/>
      <c r="C56" s="5"/>
      <c r="D56" s="4"/>
      <c r="E56" s="4"/>
      <c r="F56" s="4"/>
      <c r="G56" s="4"/>
      <c r="H56" s="4"/>
      <c r="I56" s="5"/>
      <c r="J56" s="7" t="str">
        <f aca="false">IF(OR(I56="",C56=""),"",(I56-C56)/C56)</f>
        <v/>
      </c>
      <c r="K56" s="4" t="str">
        <f aca="false">IF(J56="","",IF(J56&gt;0,"涨",IF(J56&lt;0,"跌","平")))</f>
        <v/>
      </c>
      <c r="L56" s="4" t="str">
        <f aca="false">IF(J56="","",IF(ABS(J56)&lt;=0.003,"小",IF(ABS(J56)&lt;=0.01,"中","大")))</f>
        <v/>
      </c>
      <c r="M56" s="4" t="str">
        <f aca="false">IF(OR(D56="",K56=""),"",IF(D56=K56,"√","×"))</f>
        <v/>
      </c>
      <c r="N56" s="4" t="str">
        <f aca="false">IF(OR(E56="",L56=""),"",IF(E56=L56,"√","×"))</f>
        <v/>
      </c>
      <c r="O56" s="4"/>
      <c r="P56" s="4"/>
      <c r="Q56" s="4"/>
    </row>
    <row r="57" customFormat="false" ht="15" hidden="false" customHeight="true" outlineLevel="0" collapsed="false">
      <c r="A57" s="8"/>
      <c r="B57" s="8"/>
      <c r="C57" s="9"/>
      <c r="D57" s="8"/>
      <c r="E57" s="8"/>
      <c r="F57" s="8"/>
      <c r="G57" s="8"/>
      <c r="H57" s="8"/>
      <c r="I57" s="9"/>
      <c r="J57" s="11" t="str">
        <f aca="false">IF(OR(I57="",C57=""),"",(I57-C57)/C57)</f>
        <v/>
      </c>
      <c r="K57" s="8" t="str">
        <f aca="false">IF(J57="","",IF(J57&gt;0,"涨",IF(J57&lt;0,"跌","平")))</f>
        <v/>
      </c>
      <c r="L57" s="8" t="str">
        <f aca="false">IF(J57="","",IF(ABS(J57)&lt;=0.003,"小",IF(ABS(J57)&lt;=0.01,"中","大")))</f>
        <v/>
      </c>
      <c r="M57" s="8" t="str">
        <f aca="false">IF(OR(D57="",K57=""),"",IF(D57=K57,"√","×"))</f>
        <v/>
      </c>
      <c r="N57" s="8" t="str">
        <f aca="false">IF(OR(E57="",L57=""),"",IF(E57=L57,"√","×"))</f>
        <v/>
      </c>
      <c r="O57" s="8"/>
      <c r="P57" s="8"/>
      <c r="Q57" s="8"/>
    </row>
    <row r="58" customFormat="false" ht="15" hidden="false" customHeight="true" outlineLevel="0" collapsed="false">
      <c r="A58" s="4"/>
      <c r="B58" s="4"/>
      <c r="C58" s="5"/>
      <c r="D58" s="4"/>
      <c r="E58" s="4"/>
      <c r="F58" s="4"/>
      <c r="G58" s="4"/>
      <c r="H58" s="4"/>
      <c r="I58" s="5"/>
      <c r="J58" s="7" t="str">
        <f aca="false">IF(OR(I58="",C58=""),"",(I58-C58)/C58)</f>
        <v/>
      </c>
      <c r="K58" s="4" t="str">
        <f aca="false">IF(J58="","",IF(J58&gt;0,"涨",IF(J58&lt;0,"跌","平")))</f>
        <v/>
      </c>
      <c r="L58" s="4" t="str">
        <f aca="false">IF(J58="","",IF(ABS(J58)&lt;=0.003,"小",IF(ABS(J58)&lt;=0.01,"中","大")))</f>
        <v/>
      </c>
      <c r="M58" s="4" t="str">
        <f aca="false">IF(OR(D58="",K58=""),"",IF(D58=K58,"√","×"))</f>
        <v/>
      </c>
      <c r="N58" s="4" t="str">
        <f aca="false">IF(OR(E58="",L58=""),"",IF(E58=L58,"√","×"))</f>
        <v/>
      </c>
      <c r="O58" s="4"/>
      <c r="P58" s="4"/>
      <c r="Q58" s="4"/>
    </row>
    <row r="59" customFormat="false" ht="15" hidden="false" customHeight="true" outlineLevel="0" collapsed="false">
      <c r="A59" s="8"/>
      <c r="B59" s="8"/>
      <c r="C59" s="9"/>
      <c r="D59" s="8"/>
      <c r="E59" s="8"/>
      <c r="F59" s="8"/>
      <c r="G59" s="8"/>
      <c r="H59" s="8"/>
      <c r="I59" s="9"/>
      <c r="J59" s="11" t="str">
        <f aca="false">IF(OR(I59="",C59=""),"",(I59-C59)/C59)</f>
        <v/>
      </c>
      <c r="K59" s="8" t="str">
        <f aca="false">IF(J59="","",IF(J59&gt;0,"涨",IF(J59&lt;0,"跌","平")))</f>
        <v/>
      </c>
      <c r="L59" s="8" t="str">
        <f aca="false">IF(J59="","",IF(ABS(J59)&lt;=0.003,"小",IF(ABS(J59)&lt;=0.01,"中","大")))</f>
        <v/>
      </c>
      <c r="M59" s="8" t="str">
        <f aca="false">IF(OR(D59="",K59=""),"",IF(D59=K59,"√","×"))</f>
        <v/>
      </c>
      <c r="N59" s="8" t="str">
        <f aca="false">IF(OR(E59="",L59=""),"",IF(E59=L59,"√","×"))</f>
        <v/>
      </c>
      <c r="O59" s="8"/>
      <c r="P59" s="8"/>
      <c r="Q59" s="8"/>
    </row>
    <row r="60" customFormat="false" ht="15" hidden="false" customHeight="true" outlineLevel="0" collapsed="false">
      <c r="A60" s="4"/>
      <c r="B60" s="4"/>
      <c r="C60" s="5"/>
      <c r="D60" s="4"/>
      <c r="E60" s="4"/>
      <c r="F60" s="4"/>
      <c r="G60" s="4"/>
      <c r="H60" s="4"/>
      <c r="I60" s="5"/>
      <c r="J60" s="7" t="str">
        <f aca="false">IF(OR(I60="",C60=""),"",(I60-C60)/C60)</f>
        <v/>
      </c>
      <c r="K60" s="4" t="str">
        <f aca="false">IF(J60="","",IF(J60&gt;0,"涨",IF(J60&lt;0,"跌","平")))</f>
        <v/>
      </c>
      <c r="L60" s="4" t="str">
        <f aca="false">IF(J60="","",IF(ABS(J60)&lt;=0.003,"小",IF(ABS(J60)&lt;=0.01,"中","大")))</f>
        <v/>
      </c>
      <c r="M60" s="4" t="str">
        <f aca="false">IF(OR(D60="",K60=""),"",IF(D60=K60,"√","×"))</f>
        <v/>
      </c>
      <c r="N60" s="4" t="str">
        <f aca="false">IF(OR(E60="",L60=""),"",IF(E60=L60,"√","×"))</f>
        <v/>
      </c>
      <c r="O60" s="4"/>
      <c r="P60" s="4"/>
      <c r="Q60" s="4"/>
    </row>
    <row r="61" customFormat="false" ht="15" hidden="false" customHeight="true" outlineLevel="0" collapsed="false">
      <c r="A61" s="8"/>
      <c r="B61" s="8"/>
      <c r="C61" s="9"/>
      <c r="D61" s="8"/>
      <c r="E61" s="8"/>
      <c r="F61" s="8"/>
      <c r="G61" s="8"/>
      <c r="H61" s="8"/>
      <c r="I61" s="9"/>
      <c r="J61" s="11" t="str">
        <f aca="false">IF(OR(I61="",C61=""),"",(I61-C61)/C61)</f>
        <v/>
      </c>
      <c r="K61" s="8" t="str">
        <f aca="false">IF(J61="","",IF(J61&gt;0,"涨",IF(J61&lt;0,"跌","平")))</f>
        <v/>
      </c>
      <c r="L61" s="8" t="str">
        <f aca="false">IF(J61="","",IF(ABS(J61)&lt;=0.003,"小",IF(ABS(J61)&lt;=0.01,"中","大")))</f>
        <v/>
      </c>
      <c r="M61" s="8" t="str">
        <f aca="false">IF(OR(D61="",K61=""),"",IF(D61=K61,"√","×"))</f>
        <v/>
      </c>
      <c r="N61" s="8" t="str">
        <f aca="false">IF(OR(E61="",L61=""),"",IF(E61=L61,"√","×"))</f>
        <v/>
      </c>
      <c r="O61" s="8"/>
      <c r="P61" s="8"/>
      <c r="Q61" s="8"/>
    </row>
    <row r="62" customFormat="false" ht="15" hidden="false" customHeight="true" outlineLevel="0" collapsed="false">
      <c r="A62" s="4"/>
      <c r="B62" s="4"/>
      <c r="C62" s="5"/>
      <c r="D62" s="4"/>
      <c r="E62" s="4"/>
      <c r="F62" s="4"/>
      <c r="G62" s="4"/>
      <c r="H62" s="4"/>
      <c r="I62" s="5"/>
      <c r="J62" s="7" t="str">
        <f aca="false">IF(OR(I62="",C62=""),"",(I62-C62)/C62)</f>
        <v/>
      </c>
      <c r="K62" s="4" t="str">
        <f aca="false">IF(J62="","",IF(J62&gt;0,"涨",IF(J62&lt;0,"跌","平")))</f>
        <v/>
      </c>
      <c r="L62" s="4" t="str">
        <f aca="false">IF(J62="","",IF(ABS(J62)&lt;=0.003,"小",IF(ABS(J62)&lt;=0.01,"中","大")))</f>
        <v/>
      </c>
      <c r="M62" s="4" t="str">
        <f aca="false">IF(OR(D62="",K62=""),"",IF(D62=K62,"√","×"))</f>
        <v/>
      </c>
      <c r="N62" s="4" t="str">
        <f aca="false">IF(OR(E62="",L62=""),"",IF(E62=L62,"√","×"))</f>
        <v/>
      </c>
      <c r="O62" s="4"/>
      <c r="P62" s="4"/>
      <c r="Q62" s="4"/>
    </row>
    <row r="63" customFormat="false" ht="15" hidden="false" customHeight="true" outlineLevel="0" collapsed="false">
      <c r="A63" s="8"/>
      <c r="B63" s="8"/>
      <c r="C63" s="9"/>
      <c r="D63" s="8"/>
      <c r="E63" s="8"/>
      <c r="F63" s="8"/>
      <c r="G63" s="8"/>
      <c r="H63" s="8"/>
      <c r="I63" s="9"/>
      <c r="J63" s="11" t="str">
        <f aca="false">IF(OR(I63="",C63=""),"",(I63-C63)/C63)</f>
        <v/>
      </c>
      <c r="K63" s="8" t="str">
        <f aca="false">IF(J63="","",IF(J63&gt;0,"涨",IF(J63&lt;0,"跌","平")))</f>
        <v/>
      </c>
      <c r="L63" s="8" t="str">
        <f aca="false">IF(J63="","",IF(ABS(J63)&lt;=0.003,"小",IF(ABS(J63)&lt;=0.01,"中","大")))</f>
        <v/>
      </c>
      <c r="M63" s="8" t="str">
        <f aca="false">IF(OR(D63="",K63=""),"",IF(D63=K63,"√","×"))</f>
        <v/>
      </c>
      <c r="N63" s="8" t="str">
        <f aca="false">IF(OR(E63="",L63=""),"",IF(E63=L63,"√","×"))</f>
        <v/>
      </c>
      <c r="O63" s="8"/>
      <c r="P63" s="8"/>
      <c r="Q63" s="8"/>
    </row>
    <row r="64" customFormat="false" ht="15" hidden="false" customHeight="true" outlineLevel="0" collapsed="false">
      <c r="A64" s="4"/>
      <c r="B64" s="4"/>
      <c r="C64" s="5"/>
      <c r="D64" s="4"/>
      <c r="E64" s="4"/>
      <c r="F64" s="4"/>
      <c r="G64" s="4"/>
      <c r="H64" s="4"/>
      <c r="I64" s="5"/>
      <c r="J64" s="7" t="str">
        <f aca="false">IF(OR(I64="",C64=""),"",(I64-C64)/C64)</f>
        <v/>
      </c>
      <c r="K64" s="4" t="str">
        <f aca="false">IF(J64="","",IF(J64&gt;0,"涨",IF(J64&lt;0,"跌","平")))</f>
        <v/>
      </c>
      <c r="L64" s="4" t="str">
        <f aca="false">IF(J64="","",IF(ABS(J64)&lt;=0.003,"小",IF(ABS(J64)&lt;=0.01,"中","大")))</f>
        <v/>
      </c>
      <c r="M64" s="4" t="str">
        <f aca="false">IF(OR(D64="",K64=""),"",IF(D64=K64,"√","×"))</f>
        <v/>
      </c>
      <c r="N64" s="4" t="str">
        <f aca="false">IF(OR(E64="",L64=""),"",IF(E64=L64,"√","×"))</f>
        <v/>
      </c>
      <c r="O64" s="4"/>
      <c r="P64" s="4"/>
      <c r="Q64" s="4"/>
    </row>
    <row r="65" customFormat="false" ht="15" hidden="false" customHeight="true" outlineLevel="0" collapsed="false">
      <c r="A65" s="8"/>
      <c r="B65" s="8"/>
      <c r="C65" s="9"/>
      <c r="D65" s="8"/>
      <c r="E65" s="8"/>
      <c r="F65" s="8"/>
      <c r="G65" s="8"/>
      <c r="H65" s="8"/>
      <c r="I65" s="9"/>
      <c r="J65" s="11" t="str">
        <f aca="false">IF(OR(I65="",C65=""),"",(I65-C65)/C65)</f>
        <v/>
      </c>
      <c r="K65" s="8" t="str">
        <f aca="false">IF(J65="","",IF(J65&gt;0,"涨",IF(J65&lt;0,"跌","平")))</f>
        <v/>
      </c>
      <c r="L65" s="8" t="str">
        <f aca="false">IF(J65="","",IF(ABS(J65)&lt;=0.003,"小",IF(ABS(J65)&lt;=0.01,"中","大")))</f>
        <v/>
      </c>
      <c r="M65" s="8" t="str">
        <f aca="false">IF(OR(D65="",K65=""),"",IF(D65=K65,"√","×"))</f>
        <v/>
      </c>
      <c r="N65" s="8" t="str">
        <f aca="false">IF(OR(E65="",L65=""),"",IF(E65=L65,"√","×"))</f>
        <v/>
      </c>
      <c r="O65" s="8"/>
      <c r="P65" s="8"/>
      <c r="Q65" s="8"/>
    </row>
    <row r="66" customFormat="false" ht="15" hidden="false" customHeight="true" outlineLevel="0" collapsed="false">
      <c r="A66" s="4"/>
      <c r="B66" s="4"/>
      <c r="C66" s="5"/>
      <c r="D66" s="4"/>
      <c r="E66" s="4"/>
      <c r="F66" s="4"/>
      <c r="G66" s="4"/>
      <c r="H66" s="4"/>
      <c r="I66" s="5"/>
      <c r="J66" s="7" t="str">
        <f aca="false">IF(OR(I66="",C66=""),"",(I66-C66)/C66)</f>
        <v/>
      </c>
      <c r="K66" s="4" t="str">
        <f aca="false">IF(J66="","",IF(J66&gt;0,"涨",IF(J66&lt;0,"跌","平")))</f>
        <v/>
      </c>
      <c r="L66" s="4" t="str">
        <f aca="false">IF(J66="","",IF(ABS(J66)&lt;=0.003,"小",IF(ABS(J66)&lt;=0.01,"中","大")))</f>
        <v/>
      </c>
      <c r="M66" s="4" t="str">
        <f aca="false">IF(OR(D66="",K66=""),"",IF(D66=K66,"√","×"))</f>
        <v/>
      </c>
      <c r="N66" s="4" t="str">
        <f aca="false">IF(OR(E66="",L66=""),"",IF(E66=L66,"√","×"))</f>
        <v/>
      </c>
      <c r="O66" s="4"/>
      <c r="P66" s="4"/>
      <c r="Q66" s="4"/>
    </row>
    <row r="67" customFormat="false" ht="15" hidden="false" customHeight="true" outlineLevel="0" collapsed="false">
      <c r="A67" s="8"/>
      <c r="B67" s="8"/>
      <c r="C67" s="9"/>
      <c r="D67" s="8"/>
      <c r="E67" s="8"/>
      <c r="F67" s="8"/>
      <c r="G67" s="8"/>
      <c r="H67" s="8"/>
      <c r="I67" s="9"/>
      <c r="J67" s="11" t="str">
        <f aca="false">IF(OR(I67="",C67=""),"",(I67-C67)/C67)</f>
        <v/>
      </c>
      <c r="K67" s="8" t="str">
        <f aca="false">IF(J67="","",IF(J67&gt;0,"涨",IF(J67&lt;0,"跌","平")))</f>
        <v/>
      </c>
      <c r="L67" s="8" t="str">
        <f aca="false">IF(J67="","",IF(ABS(J67)&lt;=0.003,"小",IF(ABS(J67)&lt;=0.01,"中","大")))</f>
        <v/>
      </c>
      <c r="M67" s="8" t="str">
        <f aca="false">IF(OR(D67="",K67=""),"",IF(D67=K67,"√","×"))</f>
        <v/>
      </c>
      <c r="N67" s="8" t="str">
        <f aca="false">IF(OR(E67="",L67=""),"",IF(E67=L67,"√","×"))</f>
        <v/>
      </c>
      <c r="O67" s="8"/>
      <c r="P67" s="8"/>
      <c r="Q67" s="8"/>
    </row>
    <row r="68" customFormat="false" ht="15" hidden="false" customHeight="true" outlineLevel="0" collapsed="false">
      <c r="A68" s="4"/>
      <c r="B68" s="4"/>
      <c r="C68" s="5"/>
      <c r="D68" s="4"/>
      <c r="E68" s="4"/>
      <c r="F68" s="4"/>
      <c r="G68" s="4"/>
      <c r="H68" s="4"/>
      <c r="I68" s="5"/>
      <c r="J68" s="7" t="str">
        <f aca="false">IF(OR(I68="",C68=""),"",(I68-C68)/C68)</f>
        <v/>
      </c>
      <c r="K68" s="4" t="str">
        <f aca="false">IF(J68="","",IF(J68&gt;0,"涨",IF(J68&lt;0,"跌","平")))</f>
        <v/>
      </c>
      <c r="L68" s="4" t="str">
        <f aca="false">IF(J68="","",IF(ABS(J68)&lt;=0.003,"小",IF(ABS(J68)&lt;=0.01,"中","大")))</f>
        <v/>
      </c>
      <c r="M68" s="4" t="str">
        <f aca="false">IF(OR(D68="",K68=""),"",IF(D68=K68,"√","×"))</f>
        <v/>
      </c>
      <c r="N68" s="4" t="str">
        <f aca="false">IF(OR(E68="",L68=""),"",IF(E68=L68,"√","×"))</f>
        <v/>
      </c>
      <c r="O68" s="4"/>
      <c r="P68" s="4"/>
      <c r="Q68" s="4"/>
    </row>
    <row r="69" customFormat="false" ht="15" hidden="false" customHeight="true" outlineLevel="0" collapsed="false">
      <c r="A69" s="8"/>
      <c r="B69" s="8"/>
      <c r="C69" s="9"/>
      <c r="D69" s="8"/>
      <c r="E69" s="8"/>
      <c r="F69" s="8"/>
      <c r="G69" s="8"/>
      <c r="H69" s="8"/>
      <c r="I69" s="9"/>
      <c r="J69" s="11" t="str">
        <f aca="false">IF(OR(I69="",C69=""),"",(I69-C69)/C69)</f>
        <v/>
      </c>
      <c r="K69" s="8" t="str">
        <f aca="false">IF(J69="","",IF(J69&gt;0,"涨",IF(J69&lt;0,"跌","平")))</f>
        <v/>
      </c>
      <c r="L69" s="8" t="str">
        <f aca="false">IF(J69="","",IF(ABS(J69)&lt;=0.003,"小",IF(ABS(J69)&lt;=0.01,"中","大")))</f>
        <v/>
      </c>
      <c r="M69" s="8" t="str">
        <f aca="false">IF(OR(D69="",K69=""),"",IF(D69=K69,"√","×"))</f>
        <v/>
      </c>
      <c r="N69" s="8" t="str">
        <f aca="false">IF(OR(E69="",L69=""),"",IF(E69=L69,"√","×"))</f>
        <v/>
      </c>
      <c r="O69" s="8"/>
      <c r="P69" s="8"/>
      <c r="Q69" s="8"/>
    </row>
    <row r="70" customFormat="false" ht="15" hidden="false" customHeight="true" outlineLevel="0" collapsed="false">
      <c r="A70" s="4"/>
      <c r="B70" s="4"/>
      <c r="C70" s="5"/>
      <c r="D70" s="4"/>
      <c r="E70" s="4"/>
      <c r="F70" s="4"/>
      <c r="G70" s="4"/>
      <c r="H70" s="4"/>
      <c r="I70" s="5"/>
      <c r="J70" s="7" t="str">
        <f aca="false">IF(OR(I70="",C70=""),"",(I70-C70)/C70)</f>
        <v/>
      </c>
      <c r="K70" s="4" t="str">
        <f aca="false">IF(J70="","",IF(J70&gt;0,"涨",IF(J70&lt;0,"跌","平")))</f>
        <v/>
      </c>
      <c r="L70" s="4" t="str">
        <f aca="false">IF(J70="","",IF(ABS(J70)&lt;=0.003,"小",IF(ABS(J70)&lt;=0.01,"中","大")))</f>
        <v/>
      </c>
      <c r="M70" s="4" t="str">
        <f aca="false">IF(OR(D70="",K70=""),"",IF(D70=K70,"√","×"))</f>
        <v/>
      </c>
      <c r="N70" s="4" t="str">
        <f aca="false">IF(OR(E70="",L70=""),"",IF(E70=L70,"√","×"))</f>
        <v/>
      </c>
      <c r="O70" s="4"/>
      <c r="P70" s="4"/>
      <c r="Q70" s="4"/>
    </row>
    <row r="71" customFormat="false" ht="15" hidden="false" customHeight="true" outlineLevel="0" collapsed="false">
      <c r="A71" s="8"/>
      <c r="B71" s="8"/>
      <c r="C71" s="9"/>
      <c r="D71" s="8"/>
      <c r="E71" s="8"/>
      <c r="F71" s="8"/>
      <c r="G71" s="8"/>
      <c r="H71" s="8"/>
      <c r="I71" s="9"/>
      <c r="J71" s="11" t="str">
        <f aca="false">IF(OR(I71="",C71=""),"",(I71-C71)/C71)</f>
        <v/>
      </c>
      <c r="K71" s="8" t="str">
        <f aca="false">IF(J71="","",IF(J71&gt;0,"涨",IF(J71&lt;0,"跌","平")))</f>
        <v/>
      </c>
      <c r="L71" s="8" t="str">
        <f aca="false">IF(J71="","",IF(ABS(J71)&lt;=0.003,"小",IF(ABS(J71)&lt;=0.01,"中","大")))</f>
        <v/>
      </c>
      <c r="M71" s="8" t="str">
        <f aca="false">IF(OR(D71="",K71=""),"",IF(D71=K71,"√","×"))</f>
        <v/>
      </c>
      <c r="N71" s="8" t="str">
        <f aca="false">IF(OR(E71="",L71=""),"",IF(E71=L71,"√","×"))</f>
        <v/>
      </c>
      <c r="O71" s="8"/>
      <c r="P71" s="8"/>
      <c r="Q71" s="8"/>
    </row>
    <row r="72" customFormat="false" ht="15" hidden="false" customHeight="true" outlineLevel="0" collapsed="false">
      <c r="A72" s="4"/>
      <c r="B72" s="4"/>
      <c r="C72" s="5"/>
      <c r="D72" s="4"/>
      <c r="E72" s="4"/>
      <c r="F72" s="4"/>
      <c r="G72" s="4"/>
      <c r="H72" s="4"/>
      <c r="I72" s="5"/>
      <c r="J72" s="7" t="str">
        <f aca="false">IF(OR(I72="",C72=""),"",(I72-C72)/C72)</f>
        <v/>
      </c>
      <c r="K72" s="4" t="str">
        <f aca="false">IF(J72="","",IF(J72&gt;0,"涨",IF(J72&lt;0,"跌","平")))</f>
        <v/>
      </c>
      <c r="L72" s="4" t="str">
        <f aca="false">IF(J72="","",IF(ABS(J72)&lt;=0.003,"小",IF(ABS(J72)&lt;=0.01,"中","大")))</f>
        <v/>
      </c>
      <c r="M72" s="4" t="str">
        <f aca="false">IF(OR(D72="",K72=""),"",IF(D72=K72,"√","×"))</f>
        <v/>
      </c>
      <c r="N72" s="4" t="str">
        <f aca="false">IF(OR(E72="",L72=""),"",IF(E72=L72,"√","×"))</f>
        <v/>
      </c>
      <c r="O72" s="4"/>
      <c r="P72" s="4"/>
      <c r="Q72" s="4"/>
    </row>
    <row r="73" customFormat="false" ht="15" hidden="false" customHeight="true" outlineLevel="0" collapsed="false">
      <c r="A73" s="8"/>
      <c r="B73" s="8"/>
      <c r="C73" s="9"/>
      <c r="D73" s="8"/>
      <c r="E73" s="8"/>
      <c r="F73" s="8"/>
      <c r="G73" s="8"/>
      <c r="H73" s="8"/>
      <c r="I73" s="9"/>
      <c r="J73" s="11" t="str">
        <f aca="false">IF(OR(I73="",C73=""),"",(I73-C73)/C73)</f>
        <v/>
      </c>
      <c r="K73" s="8" t="str">
        <f aca="false">IF(J73="","",IF(J73&gt;0,"涨",IF(J73&lt;0,"跌","平")))</f>
        <v/>
      </c>
      <c r="L73" s="8" t="str">
        <f aca="false">IF(J73="","",IF(ABS(J73)&lt;=0.003,"小",IF(ABS(J73)&lt;=0.01,"中","大")))</f>
        <v/>
      </c>
      <c r="M73" s="8" t="str">
        <f aca="false">IF(OR(D73="",K73=""),"",IF(D73=K73,"√","×"))</f>
        <v/>
      </c>
      <c r="N73" s="8" t="str">
        <f aca="false">IF(OR(E73="",L73=""),"",IF(E73=L73,"√","×"))</f>
        <v/>
      </c>
      <c r="O73" s="8"/>
      <c r="P73" s="8"/>
      <c r="Q73" s="8"/>
    </row>
    <row r="74" customFormat="false" ht="15" hidden="false" customHeight="true" outlineLevel="0" collapsed="false">
      <c r="A74" s="4"/>
      <c r="B74" s="4"/>
      <c r="C74" s="5"/>
      <c r="D74" s="4"/>
      <c r="E74" s="4"/>
      <c r="F74" s="4"/>
      <c r="G74" s="4"/>
      <c r="H74" s="4"/>
      <c r="I74" s="5"/>
      <c r="J74" s="7" t="str">
        <f aca="false">IF(OR(I74="",C74=""),"",(I74-C74)/C74)</f>
        <v/>
      </c>
      <c r="K74" s="4" t="str">
        <f aca="false">IF(J74="","",IF(J74&gt;0,"涨",IF(J74&lt;0,"跌","平")))</f>
        <v/>
      </c>
      <c r="L74" s="4" t="str">
        <f aca="false">IF(J74="","",IF(ABS(J74)&lt;=0.003,"小",IF(ABS(J74)&lt;=0.01,"中","大")))</f>
        <v/>
      </c>
      <c r="M74" s="4" t="str">
        <f aca="false">IF(OR(D74="",K74=""),"",IF(D74=K74,"√","×"))</f>
        <v/>
      </c>
      <c r="N74" s="4" t="str">
        <f aca="false">IF(OR(E74="",L74=""),"",IF(E74=L74,"√","×"))</f>
        <v/>
      </c>
      <c r="O74" s="4"/>
      <c r="P74" s="4"/>
      <c r="Q74" s="4"/>
    </row>
    <row r="75" customFormat="false" ht="15" hidden="false" customHeight="true" outlineLevel="0" collapsed="false">
      <c r="A75" s="8"/>
      <c r="B75" s="8"/>
      <c r="C75" s="9"/>
      <c r="D75" s="8"/>
      <c r="E75" s="8"/>
      <c r="F75" s="8"/>
      <c r="G75" s="8"/>
      <c r="H75" s="8"/>
      <c r="I75" s="9"/>
      <c r="J75" s="11" t="str">
        <f aca="false">IF(OR(I75="",C75=""),"",(I75-C75)/C75)</f>
        <v/>
      </c>
      <c r="K75" s="8" t="str">
        <f aca="false">IF(J75="","",IF(J75&gt;0,"涨",IF(J75&lt;0,"跌","平")))</f>
        <v/>
      </c>
      <c r="L75" s="8" t="str">
        <f aca="false">IF(J75="","",IF(ABS(J75)&lt;=0.003,"小",IF(ABS(J75)&lt;=0.01,"中","大")))</f>
        <v/>
      </c>
      <c r="M75" s="8" t="str">
        <f aca="false">IF(OR(D75="",K75=""),"",IF(D75=K75,"√","×"))</f>
        <v/>
      </c>
      <c r="N75" s="8" t="str">
        <f aca="false">IF(OR(E75="",L75=""),"",IF(E75=L75,"√","×"))</f>
        <v/>
      </c>
      <c r="O75" s="8"/>
      <c r="P75" s="8"/>
      <c r="Q75" s="8"/>
    </row>
    <row r="76" customFormat="false" ht="15" hidden="false" customHeight="true" outlineLevel="0" collapsed="false">
      <c r="A76" s="4"/>
      <c r="B76" s="4"/>
      <c r="C76" s="5"/>
      <c r="D76" s="4"/>
      <c r="E76" s="4"/>
      <c r="F76" s="4"/>
      <c r="G76" s="4"/>
      <c r="H76" s="4"/>
      <c r="I76" s="5"/>
      <c r="J76" s="7" t="str">
        <f aca="false">IF(OR(I76="",C76=""),"",(I76-C76)/C76)</f>
        <v/>
      </c>
      <c r="K76" s="4" t="str">
        <f aca="false">IF(J76="","",IF(J76&gt;0,"涨",IF(J76&lt;0,"跌","平")))</f>
        <v/>
      </c>
      <c r="L76" s="4" t="str">
        <f aca="false">IF(J76="","",IF(ABS(J76)&lt;=0.003,"小",IF(ABS(J76)&lt;=0.01,"中","大")))</f>
        <v/>
      </c>
      <c r="M76" s="4" t="str">
        <f aca="false">IF(OR(D76="",K76=""),"",IF(D76=K76,"√","×"))</f>
        <v/>
      </c>
      <c r="N76" s="4" t="str">
        <f aca="false">IF(OR(E76="",L76=""),"",IF(E76=L76,"√","×"))</f>
        <v/>
      </c>
      <c r="O76" s="4"/>
      <c r="P76" s="4"/>
      <c r="Q76" s="4"/>
    </row>
    <row r="77" customFormat="false" ht="15" hidden="false" customHeight="true" outlineLevel="0" collapsed="false">
      <c r="A77" s="8"/>
      <c r="B77" s="8"/>
      <c r="C77" s="9"/>
      <c r="D77" s="8"/>
      <c r="E77" s="8"/>
      <c r="F77" s="8"/>
      <c r="G77" s="8"/>
      <c r="H77" s="8"/>
      <c r="I77" s="9"/>
      <c r="J77" s="11" t="str">
        <f aca="false">IF(OR(I77="",C77=""),"",(I77-C77)/C77)</f>
        <v/>
      </c>
      <c r="K77" s="8" t="str">
        <f aca="false">IF(J77="","",IF(J77&gt;0,"涨",IF(J77&lt;0,"跌","平")))</f>
        <v/>
      </c>
      <c r="L77" s="8" t="str">
        <f aca="false">IF(J77="","",IF(ABS(J77)&lt;=0.003,"小",IF(ABS(J77)&lt;=0.01,"中","大")))</f>
        <v/>
      </c>
      <c r="M77" s="8" t="str">
        <f aca="false">IF(OR(D77="",K77=""),"",IF(D77=K77,"√","×"))</f>
        <v/>
      </c>
      <c r="N77" s="8" t="str">
        <f aca="false">IF(OR(E77="",L77=""),"",IF(E77=L77,"√","×"))</f>
        <v/>
      </c>
      <c r="O77" s="8"/>
      <c r="P77" s="8"/>
      <c r="Q77" s="8"/>
    </row>
    <row r="78" customFormat="false" ht="15" hidden="false" customHeight="true" outlineLevel="0" collapsed="false">
      <c r="A78" s="4"/>
      <c r="B78" s="4"/>
      <c r="C78" s="5"/>
      <c r="D78" s="4"/>
      <c r="E78" s="4"/>
      <c r="F78" s="4"/>
      <c r="G78" s="4"/>
      <c r="H78" s="4"/>
      <c r="I78" s="5"/>
      <c r="J78" s="7" t="str">
        <f aca="false">IF(OR(I78="",C78=""),"",(I78-C78)/C78)</f>
        <v/>
      </c>
      <c r="K78" s="4" t="str">
        <f aca="false">IF(J78="","",IF(J78&gt;0,"涨",IF(J78&lt;0,"跌","平")))</f>
        <v/>
      </c>
      <c r="L78" s="4" t="str">
        <f aca="false">IF(J78="","",IF(ABS(J78)&lt;=0.003,"小",IF(ABS(J78)&lt;=0.01,"中","大")))</f>
        <v/>
      </c>
      <c r="M78" s="4" t="str">
        <f aca="false">IF(OR(D78="",K78=""),"",IF(D78=K78,"√","×"))</f>
        <v/>
      </c>
      <c r="N78" s="4" t="str">
        <f aca="false">IF(OR(E78="",L78=""),"",IF(E78=L78,"√","×"))</f>
        <v/>
      </c>
      <c r="O78" s="4"/>
      <c r="P78" s="4"/>
      <c r="Q78" s="4"/>
    </row>
    <row r="79" customFormat="false" ht="15" hidden="false" customHeight="true" outlineLevel="0" collapsed="false">
      <c r="A79" s="8"/>
      <c r="B79" s="8"/>
      <c r="C79" s="9"/>
      <c r="D79" s="8"/>
      <c r="E79" s="8"/>
      <c r="F79" s="8"/>
      <c r="G79" s="8"/>
      <c r="H79" s="8"/>
      <c r="I79" s="9"/>
      <c r="J79" s="11" t="str">
        <f aca="false">IF(OR(I79="",C79=""),"",(I79-C79)/C79)</f>
        <v/>
      </c>
      <c r="K79" s="8" t="str">
        <f aca="false">IF(J79="","",IF(J79&gt;0,"涨",IF(J79&lt;0,"跌","平")))</f>
        <v/>
      </c>
      <c r="L79" s="8" t="str">
        <f aca="false">IF(J79="","",IF(ABS(J79)&lt;=0.003,"小",IF(ABS(J79)&lt;=0.01,"中","大")))</f>
        <v/>
      </c>
      <c r="M79" s="8" t="str">
        <f aca="false">IF(OR(D79="",K79=""),"",IF(D79=K79,"√","×"))</f>
        <v/>
      </c>
      <c r="N79" s="8" t="str">
        <f aca="false">IF(OR(E79="",L79=""),"",IF(E79=L79,"√","×"))</f>
        <v/>
      </c>
      <c r="O79" s="8"/>
      <c r="P79" s="8"/>
      <c r="Q79" s="8"/>
    </row>
    <row r="80" customFormat="false" ht="15" hidden="false" customHeight="true" outlineLevel="0" collapsed="false">
      <c r="A80" s="4"/>
      <c r="B80" s="4"/>
      <c r="C80" s="5"/>
      <c r="D80" s="4"/>
      <c r="E80" s="4"/>
      <c r="F80" s="4"/>
      <c r="G80" s="4"/>
      <c r="H80" s="4"/>
      <c r="I80" s="5"/>
      <c r="J80" s="7" t="str">
        <f aca="false">IF(OR(I80="",C80=""),"",(I80-C80)/C80)</f>
        <v/>
      </c>
      <c r="K80" s="4" t="str">
        <f aca="false">IF(J80="","",IF(J80&gt;0,"涨",IF(J80&lt;0,"跌","平")))</f>
        <v/>
      </c>
      <c r="L80" s="4" t="str">
        <f aca="false">IF(J80="","",IF(ABS(J80)&lt;=0.003,"小",IF(ABS(J80)&lt;=0.01,"中","大")))</f>
        <v/>
      </c>
      <c r="M80" s="4" t="str">
        <f aca="false">IF(OR(D80="",K80=""),"",IF(D80=K80,"√","×"))</f>
        <v/>
      </c>
      <c r="N80" s="4" t="str">
        <f aca="false">IF(OR(E80="",L80=""),"",IF(E80=L80,"√","×"))</f>
        <v/>
      </c>
      <c r="O80" s="4"/>
      <c r="P80" s="4"/>
      <c r="Q80" s="4"/>
    </row>
    <row r="81" customFormat="false" ht="15" hidden="false" customHeight="true" outlineLevel="0" collapsed="false">
      <c r="A81" s="8"/>
      <c r="B81" s="8"/>
      <c r="C81" s="9"/>
      <c r="D81" s="8"/>
      <c r="E81" s="8"/>
      <c r="F81" s="8"/>
      <c r="G81" s="8"/>
      <c r="H81" s="8"/>
      <c r="I81" s="9"/>
      <c r="J81" s="11" t="str">
        <f aca="false">IF(OR(I81="",C81=""),"",(I81-C81)/C81)</f>
        <v/>
      </c>
      <c r="K81" s="8" t="str">
        <f aca="false">IF(J81="","",IF(J81&gt;0,"涨",IF(J81&lt;0,"跌","平")))</f>
        <v/>
      </c>
      <c r="L81" s="8" t="str">
        <f aca="false">IF(J81="","",IF(ABS(J81)&lt;=0.003,"小",IF(ABS(J81)&lt;=0.01,"中","大")))</f>
        <v/>
      </c>
      <c r="M81" s="8" t="str">
        <f aca="false">IF(OR(D81="",K81=""),"",IF(D81=K81,"√","×"))</f>
        <v/>
      </c>
      <c r="N81" s="8" t="str">
        <f aca="false">IF(OR(E81="",L81=""),"",IF(E81=L81,"√","×"))</f>
        <v/>
      </c>
      <c r="O81" s="8"/>
      <c r="P81" s="8"/>
      <c r="Q81" s="8"/>
    </row>
    <row r="82" customFormat="false" ht="15" hidden="false" customHeight="true" outlineLevel="0" collapsed="false">
      <c r="A82" s="4"/>
      <c r="B82" s="4"/>
      <c r="C82" s="5"/>
      <c r="D82" s="4"/>
      <c r="E82" s="4"/>
      <c r="F82" s="4"/>
      <c r="G82" s="4"/>
      <c r="H82" s="4"/>
      <c r="I82" s="5"/>
      <c r="J82" s="7" t="str">
        <f aca="false">IF(OR(I82="",C82=""),"",(I82-C82)/C82)</f>
        <v/>
      </c>
      <c r="K82" s="4" t="str">
        <f aca="false">IF(J82="","",IF(J82&gt;0,"涨",IF(J82&lt;0,"跌","平")))</f>
        <v/>
      </c>
      <c r="L82" s="4" t="str">
        <f aca="false">IF(J82="","",IF(ABS(J82)&lt;=0.003,"小",IF(ABS(J82)&lt;=0.01,"中","大")))</f>
        <v/>
      </c>
      <c r="M82" s="4" t="str">
        <f aca="false">IF(OR(D82="",K82=""),"",IF(D82=K82,"√","×"))</f>
        <v/>
      </c>
      <c r="N82" s="4" t="str">
        <f aca="false">IF(OR(E82="",L82=""),"",IF(E82=L82,"√","×"))</f>
        <v/>
      </c>
      <c r="O82" s="4"/>
      <c r="P82" s="4"/>
      <c r="Q82" s="4"/>
    </row>
    <row r="83" customFormat="false" ht="15" hidden="false" customHeight="true" outlineLevel="0" collapsed="false">
      <c r="A83" s="8"/>
      <c r="B83" s="8"/>
      <c r="C83" s="9"/>
      <c r="D83" s="8"/>
      <c r="E83" s="8"/>
      <c r="F83" s="8"/>
      <c r="G83" s="8"/>
      <c r="H83" s="8"/>
      <c r="I83" s="9"/>
      <c r="J83" s="11" t="str">
        <f aca="false">IF(OR(I83="",C83=""),"",(I83-C83)/C83)</f>
        <v/>
      </c>
      <c r="K83" s="8" t="str">
        <f aca="false">IF(J83="","",IF(J83&gt;0,"涨",IF(J83&lt;0,"跌","平")))</f>
        <v/>
      </c>
      <c r="L83" s="8" t="str">
        <f aca="false">IF(J83="","",IF(ABS(J83)&lt;=0.003,"小",IF(ABS(J83)&lt;=0.01,"中","大")))</f>
        <v/>
      </c>
      <c r="M83" s="8" t="str">
        <f aca="false">IF(OR(D83="",K83=""),"",IF(D83=K83,"√","×"))</f>
        <v/>
      </c>
      <c r="N83" s="8" t="str">
        <f aca="false">IF(OR(E83="",L83=""),"",IF(E83=L83,"√","×"))</f>
        <v/>
      </c>
      <c r="O83" s="8"/>
      <c r="P83" s="8"/>
      <c r="Q83" s="8"/>
    </row>
    <row r="84" customFormat="false" ht="15" hidden="false" customHeight="true" outlineLevel="0" collapsed="false">
      <c r="A84" s="4"/>
      <c r="B84" s="4"/>
      <c r="C84" s="5"/>
      <c r="D84" s="4"/>
      <c r="E84" s="4"/>
      <c r="F84" s="4"/>
      <c r="G84" s="4"/>
      <c r="H84" s="4"/>
      <c r="I84" s="5"/>
      <c r="J84" s="7" t="str">
        <f aca="false">IF(OR(I84="",C84=""),"",(I84-C84)/C84)</f>
        <v/>
      </c>
      <c r="K84" s="4" t="str">
        <f aca="false">IF(J84="","",IF(J84&gt;0,"涨",IF(J84&lt;0,"跌","平")))</f>
        <v/>
      </c>
      <c r="L84" s="4" t="str">
        <f aca="false">IF(J84="","",IF(ABS(J84)&lt;=0.003,"小",IF(ABS(J84)&lt;=0.01,"中","大")))</f>
        <v/>
      </c>
      <c r="M84" s="4" t="str">
        <f aca="false">IF(OR(D84="",K84=""),"",IF(D84=K84,"√","×"))</f>
        <v/>
      </c>
      <c r="N84" s="4" t="str">
        <f aca="false">IF(OR(E84="",L84=""),"",IF(E84=L84,"√","×"))</f>
        <v/>
      </c>
      <c r="O84" s="4"/>
      <c r="P84" s="4"/>
      <c r="Q84" s="4"/>
    </row>
    <row r="85" customFormat="false" ht="15" hidden="false" customHeight="true" outlineLevel="0" collapsed="false">
      <c r="A85" s="8"/>
      <c r="B85" s="8"/>
      <c r="C85" s="9"/>
      <c r="D85" s="8"/>
      <c r="E85" s="8"/>
      <c r="F85" s="8"/>
      <c r="G85" s="8"/>
      <c r="H85" s="8"/>
      <c r="I85" s="9"/>
      <c r="J85" s="11" t="str">
        <f aca="false">IF(OR(I85="",C85=""),"",(I85-C85)/C85)</f>
        <v/>
      </c>
      <c r="K85" s="8" t="str">
        <f aca="false">IF(J85="","",IF(J85&gt;0,"涨",IF(J85&lt;0,"跌","平")))</f>
        <v/>
      </c>
      <c r="L85" s="8" t="str">
        <f aca="false">IF(J85="","",IF(ABS(J85)&lt;=0.003,"小",IF(ABS(J85)&lt;=0.01,"中","大")))</f>
        <v/>
      </c>
      <c r="M85" s="8" t="str">
        <f aca="false">IF(OR(D85="",K85=""),"",IF(D85=K85,"√","×"))</f>
        <v/>
      </c>
      <c r="N85" s="8" t="str">
        <f aca="false">IF(OR(E85="",L85=""),"",IF(E85=L85,"√","×"))</f>
        <v/>
      </c>
      <c r="O85" s="8"/>
      <c r="P85" s="8"/>
      <c r="Q85" s="8"/>
    </row>
    <row r="86" customFormat="false" ht="15" hidden="false" customHeight="true" outlineLevel="0" collapsed="false">
      <c r="A86" s="4"/>
      <c r="B86" s="4"/>
      <c r="C86" s="5"/>
      <c r="D86" s="4"/>
      <c r="E86" s="4"/>
      <c r="F86" s="4"/>
      <c r="G86" s="4"/>
      <c r="H86" s="4"/>
      <c r="I86" s="5"/>
      <c r="J86" s="7" t="str">
        <f aca="false">IF(OR(I86="",C86=""),"",(I86-C86)/C86)</f>
        <v/>
      </c>
      <c r="K86" s="4" t="str">
        <f aca="false">IF(J86="","",IF(J86&gt;0,"涨",IF(J86&lt;0,"跌","平")))</f>
        <v/>
      </c>
      <c r="L86" s="4" t="str">
        <f aca="false">IF(J86="","",IF(ABS(J86)&lt;=0.003,"小",IF(ABS(J86)&lt;=0.01,"中","大")))</f>
        <v/>
      </c>
      <c r="M86" s="4" t="str">
        <f aca="false">IF(OR(D86="",K86=""),"",IF(D86=K86,"√","×"))</f>
        <v/>
      </c>
      <c r="N86" s="4" t="str">
        <f aca="false">IF(OR(E86="",L86=""),"",IF(E86=L86,"√","×"))</f>
        <v/>
      </c>
      <c r="O86" s="4"/>
      <c r="P86" s="4"/>
      <c r="Q86" s="4"/>
    </row>
    <row r="87" customFormat="false" ht="15" hidden="false" customHeight="true" outlineLevel="0" collapsed="false">
      <c r="A87" s="8"/>
      <c r="B87" s="8"/>
      <c r="C87" s="9"/>
      <c r="D87" s="8"/>
      <c r="E87" s="8"/>
      <c r="F87" s="8"/>
      <c r="G87" s="8"/>
      <c r="H87" s="8"/>
      <c r="I87" s="9"/>
      <c r="J87" s="11" t="str">
        <f aca="false">IF(OR(I87="",C87=""),"",(I87-C87)/C87)</f>
        <v/>
      </c>
      <c r="K87" s="8" t="str">
        <f aca="false">IF(J87="","",IF(J87&gt;0,"涨",IF(J87&lt;0,"跌","平")))</f>
        <v/>
      </c>
      <c r="L87" s="8" t="str">
        <f aca="false">IF(J87="","",IF(ABS(J87)&lt;=0.003,"小",IF(ABS(J87)&lt;=0.01,"中","大")))</f>
        <v/>
      </c>
      <c r="M87" s="8" t="str">
        <f aca="false">IF(OR(D87="",K87=""),"",IF(D87=K87,"√","×"))</f>
        <v/>
      </c>
      <c r="N87" s="8" t="str">
        <f aca="false">IF(OR(E87="",L87=""),"",IF(E87=L87,"√","×"))</f>
        <v/>
      </c>
      <c r="O87" s="8"/>
      <c r="P87" s="8"/>
      <c r="Q87" s="8"/>
    </row>
    <row r="88" customFormat="false" ht="15" hidden="false" customHeight="true" outlineLevel="0" collapsed="false">
      <c r="A88" s="4"/>
      <c r="B88" s="4"/>
      <c r="C88" s="5"/>
      <c r="D88" s="4"/>
      <c r="E88" s="4"/>
      <c r="F88" s="4"/>
      <c r="G88" s="4"/>
      <c r="H88" s="4"/>
      <c r="I88" s="5"/>
      <c r="J88" s="7" t="str">
        <f aca="false">IF(OR(I88="",C88=""),"",(I88-C88)/C88)</f>
        <v/>
      </c>
      <c r="K88" s="4" t="str">
        <f aca="false">IF(J88="","",IF(J88&gt;0,"涨",IF(J88&lt;0,"跌","平")))</f>
        <v/>
      </c>
      <c r="L88" s="4" t="str">
        <f aca="false">IF(J88="","",IF(ABS(J88)&lt;=0.003,"小",IF(ABS(J88)&lt;=0.01,"中","大")))</f>
        <v/>
      </c>
      <c r="M88" s="4" t="str">
        <f aca="false">IF(OR(D88="",K88=""),"",IF(D88=K88,"√","×"))</f>
        <v/>
      </c>
      <c r="N88" s="4" t="str">
        <f aca="false">IF(OR(E88="",L88=""),"",IF(E88=L88,"√","×"))</f>
        <v/>
      </c>
      <c r="O88" s="4"/>
      <c r="P88" s="4"/>
      <c r="Q88" s="4"/>
    </row>
    <row r="89" customFormat="false" ht="15" hidden="false" customHeight="true" outlineLevel="0" collapsed="false">
      <c r="A89" s="8"/>
      <c r="B89" s="8"/>
      <c r="C89" s="9"/>
      <c r="D89" s="8"/>
      <c r="E89" s="8"/>
      <c r="F89" s="8"/>
      <c r="G89" s="8"/>
      <c r="H89" s="8"/>
      <c r="I89" s="9"/>
      <c r="J89" s="11" t="str">
        <f aca="false">IF(OR(I89="",C89=""),"",(I89-C89)/C89)</f>
        <v/>
      </c>
      <c r="K89" s="8" t="str">
        <f aca="false">IF(J89="","",IF(J89&gt;0,"涨",IF(J89&lt;0,"跌","平")))</f>
        <v/>
      </c>
      <c r="L89" s="8" t="str">
        <f aca="false">IF(J89="","",IF(ABS(J89)&lt;=0.003,"小",IF(ABS(J89)&lt;=0.01,"中","大")))</f>
        <v/>
      </c>
      <c r="M89" s="8" t="str">
        <f aca="false">IF(OR(D89="",K89=""),"",IF(D89=K89,"√","×"))</f>
        <v/>
      </c>
      <c r="N89" s="8" t="str">
        <f aca="false">IF(OR(E89="",L89=""),"",IF(E89=L89,"√","×"))</f>
        <v/>
      </c>
      <c r="O89" s="8"/>
      <c r="P89" s="8"/>
      <c r="Q89" s="8"/>
    </row>
    <row r="90" customFormat="false" ht="15" hidden="false" customHeight="true" outlineLevel="0" collapsed="false">
      <c r="A90" s="4"/>
      <c r="B90" s="4"/>
      <c r="C90" s="5"/>
      <c r="D90" s="4"/>
      <c r="E90" s="4"/>
      <c r="F90" s="4"/>
      <c r="G90" s="4"/>
      <c r="H90" s="4"/>
      <c r="I90" s="5"/>
      <c r="J90" s="7" t="str">
        <f aca="false">IF(OR(I90="",C90=""),"",(I90-C90)/C90)</f>
        <v/>
      </c>
      <c r="K90" s="4" t="str">
        <f aca="false">IF(J90="","",IF(J90&gt;0,"涨",IF(J90&lt;0,"跌","平")))</f>
        <v/>
      </c>
      <c r="L90" s="4" t="str">
        <f aca="false">IF(J90="","",IF(ABS(J90)&lt;=0.003,"小",IF(ABS(J90)&lt;=0.01,"中","大")))</f>
        <v/>
      </c>
      <c r="M90" s="4" t="str">
        <f aca="false">IF(OR(D90="",K90=""),"",IF(D90=K90,"√","×"))</f>
        <v/>
      </c>
      <c r="N90" s="4" t="str">
        <f aca="false">IF(OR(E90="",L90=""),"",IF(E90=L90,"√","×"))</f>
        <v/>
      </c>
      <c r="O90" s="4"/>
      <c r="P90" s="4"/>
      <c r="Q90" s="4"/>
    </row>
    <row r="91" customFormat="false" ht="15" hidden="false" customHeight="true" outlineLevel="0" collapsed="false">
      <c r="A91" s="8"/>
      <c r="B91" s="8"/>
      <c r="C91" s="9"/>
      <c r="D91" s="8"/>
      <c r="E91" s="8"/>
      <c r="F91" s="8"/>
      <c r="G91" s="8"/>
      <c r="H91" s="8"/>
      <c r="I91" s="9"/>
      <c r="J91" s="11" t="str">
        <f aca="false">IF(OR(I91="",C91=""),"",(I91-C91)/C91)</f>
        <v/>
      </c>
      <c r="K91" s="8" t="str">
        <f aca="false">IF(J91="","",IF(J91&gt;0,"涨",IF(J91&lt;0,"跌","平")))</f>
        <v/>
      </c>
      <c r="L91" s="8" t="str">
        <f aca="false">IF(J91="","",IF(ABS(J91)&lt;=0.003,"小",IF(ABS(J91)&lt;=0.01,"中","大")))</f>
        <v/>
      </c>
      <c r="M91" s="8" t="str">
        <f aca="false">IF(OR(D91="",K91=""),"",IF(D91=K91,"√","×"))</f>
        <v/>
      </c>
      <c r="N91" s="8" t="str">
        <f aca="false">IF(OR(E91="",L91=""),"",IF(E91=L91,"√","×"))</f>
        <v/>
      </c>
      <c r="O91" s="8"/>
      <c r="P91" s="8"/>
      <c r="Q91" s="8"/>
    </row>
    <row r="92" customFormat="false" ht="15" hidden="false" customHeight="true" outlineLevel="0" collapsed="false">
      <c r="A92" s="4"/>
      <c r="B92" s="4"/>
      <c r="C92" s="5"/>
      <c r="D92" s="4"/>
      <c r="E92" s="4"/>
      <c r="F92" s="4"/>
      <c r="G92" s="4"/>
      <c r="H92" s="4"/>
      <c r="I92" s="5"/>
      <c r="J92" s="7" t="str">
        <f aca="false">IF(OR(I92="",C92=""),"",(I92-C92)/C92)</f>
        <v/>
      </c>
      <c r="K92" s="4" t="str">
        <f aca="false">IF(J92="","",IF(J92&gt;0,"涨",IF(J92&lt;0,"跌","平")))</f>
        <v/>
      </c>
      <c r="L92" s="4" t="str">
        <f aca="false">IF(J92="","",IF(ABS(J92)&lt;=0.003,"小",IF(ABS(J92)&lt;=0.01,"中","大")))</f>
        <v/>
      </c>
      <c r="M92" s="4" t="str">
        <f aca="false">IF(OR(D92="",K92=""),"",IF(D92=K92,"√","×"))</f>
        <v/>
      </c>
      <c r="N92" s="4" t="str">
        <f aca="false">IF(OR(E92="",L92=""),"",IF(E92=L92,"√","×"))</f>
        <v/>
      </c>
      <c r="O92" s="4"/>
      <c r="P92" s="4"/>
      <c r="Q92" s="4"/>
    </row>
    <row r="93" customFormat="false" ht="15" hidden="false" customHeight="true" outlineLevel="0" collapsed="false">
      <c r="A93" s="8"/>
      <c r="B93" s="8"/>
      <c r="C93" s="9"/>
      <c r="D93" s="8"/>
      <c r="E93" s="8"/>
      <c r="F93" s="8"/>
      <c r="G93" s="8"/>
      <c r="H93" s="8"/>
      <c r="I93" s="9"/>
      <c r="J93" s="11" t="str">
        <f aca="false">IF(OR(I93="",C93=""),"",(I93-C93)/C93)</f>
        <v/>
      </c>
      <c r="K93" s="8" t="str">
        <f aca="false">IF(J93="","",IF(J93&gt;0,"涨",IF(J93&lt;0,"跌","平")))</f>
        <v/>
      </c>
      <c r="L93" s="8" t="str">
        <f aca="false">IF(J93="","",IF(ABS(J93)&lt;=0.003,"小",IF(ABS(J93)&lt;=0.01,"中","大")))</f>
        <v/>
      </c>
      <c r="M93" s="8" t="str">
        <f aca="false">IF(OR(D93="",K93=""),"",IF(D93=K93,"√","×"))</f>
        <v/>
      </c>
      <c r="N93" s="8" t="str">
        <f aca="false">IF(OR(E93="",L93=""),"",IF(E93=L93,"√","×"))</f>
        <v/>
      </c>
      <c r="O93" s="8"/>
      <c r="P93" s="8"/>
      <c r="Q93" s="8"/>
    </row>
    <row r="94" customFormat="false" ht="15" hidden="false" customHeight="true" outlineLevel="0" collapsed="false">
      <c r="A94" s="4"/>
      <c r="B94" s="4"/>
      <c r="C94" s="5"/>
      <c r="D94" s="4"/>
      <c r="E94" s="4"/>
      <c r="F94" s="4"/>
      <c r="G94" s="4"/>
      <c r="H94" s="4"/>
      <c r="I94" s="5"/>
      <c r="J94" s="7" t="str">
        <f aca="false">IF(OR(I94="",C94=""),"",(I94-C94)/C94)</f>
        <v/>
      </c>
      <c r="K94" s="4" t="str">
        <f aca="false">IF(J94="","",IF(J94&gt;0,"涨",IF(J94&lt;0,"跌","平")))</f>
        <v/>
      </c>
      <c r="L94" s="4" t="str">
        <f aca="false">IF(J94="","",IF(ABS(J94)&lt;=0.003,"小",IF(ABS(J94)&lt;=0.01,"中","大")))</f>
        <v/>
      </c>
      <c r="M94" s="4" t="str">
        <f aca="false">IF(OR(D94="",K94=""),"",IF(D94=K94,"√","×"))</f>
        <v/>
      </c>
      <c r="N94" s="4" t="str">
        <f aca="false">IF(OR(E94="",L94=""),"",IF(E94=L94,"√","×"))</f>
        <v/>
      </c>
      <c r="O94" s="4"/>
      <c r="P94" s="4"/>
      <c r="Q94" s="4"/>
    </row>
    <row r="95" customFormat="false" ht="15" hidden="false" customHeight="true" outlineLevel="0" collapsed="false">
      <c r="A95" s="8"/>
      <c r="B95" s="8"/>
      <c r="C95" s="9"/>
      <c r="D95" s="8"/>
      <c r="E95" s="8"/>
      <c r="F95" s="8"/>
      <c r="G95" s="8"/>
      <c r="H95" s="8"/>
      <c r="I95" s="9"/>
      <c r="J95" s="11" t="str">
        <f aca="false">IF(OR(I95="",C95=""),"",(I95-C95)/C95)</f>
        <v/>
      </c>
      <c r="K95" s="8" t="str">
        <f aca="false">IF(J95="","",IF(J95&gt;0,"涨",IF(J95&lt;0,"跌","平")))</f>
        <v/>
      </c>
      <c r="L95" s="8" t="str">
        <f aca="false">IF(J95="","",IF(ABS(J95)&lt;=0.003,"小",IF(ABS(J95)&lt;=0.01,"中","大")))</f>
        <v/>
      </c>
      <c r="M95" s="8" t="str">
        <f aca="false">IF(OR(D95="",K95=""),"",IF(D95=K95,"√","×"))</f>
        <v/>
      </c>
      <c r="N95" s="8" t="str">
        <f aca="false">IF(OR(E95="",L95=""),"",IF(E95=L95,"√","×"))</f>
        <v/>
      </c>
      <c r="O95" s="8"/>
      <c r="P95" s="8"/>
      <c r="Q95" s="8"/>
    </row>
    <row r="96" customFormat="false" ht="15" hidden="false" customHeight="true" outlineLevel="0" collapsed="false">
      <c r="A96" s="4"/>
      <c r="B96" s="4"/>
      <c r="C96" s="5"/>
      <c r="D96" s="4"/>
      <c r="E96" s="4"/>
      <c r="F96" s="4"/>
      <c r="G96" s="4"/>
      <c r="H96" s="4"/>
      <c r="I96" s="5"/>
      <c r="J96" s="7" t="str">
        <f aca="false">IF(OR(I96="",C96=""),"",(I96-C96)/C96)</f>
        <v/>
      </c>
      <c r="K96" s="4" t="str">
        <f aca="false">IF(J96="","",IF(J96&gt;0,"涨",IF(J96&lt;0,"跌","平")))</f>
        <v/>
      </c>
      <c r="L96" s="4" t="str">
        <f aca="false">IF(J96="","",IF(ABS(J96)&lt;=0.003,"小",IF(ABS(J96)&lt;=0.01,"中","大")))</f>
        <v/>
      </c>
      <c r="M96" s="4" t="str">
        <f aca="false">IF(OR(D96="",K96=""),"",IF(D96=K96,"√","×"))</f>
        <v/>
      </c>
      <c r="N96" s="4" t="str">
        <f aca="false">IF(OR(E96="",L96=""),"",IF(E96=L96,"√","×"))</f>
        <v/>
      </c>
      <c r="O96" s="4"/>
      <c r="P96" s="4"/>
      <c r="Q96" s="4"/>
    </row>
    <row r="97" customFormat="false" ht="15" hidden="false" customHeight="true" outlineLevel="0" collapsed="false">
      <c r="A97" s="8"/>
      <c r="B97" s="8"/>
      <c r="C97" s="9"/>
      <c r="D97" s="8"/>
      <c r="E97" s="8"/>
      <c r="F97" s="8"/>
      <c r="G97" s="8"/>
      <c r="H97" s="8"/>
      <c r="I97" s="9"/>
      <c r="J97" s="11" t="str">
        <f aca="false">IF(OR(I97="",C97=""),"",(I97-C97)/C97)</f>
        <v/>
      </c>
      <c r="K97" s="8" t="str">
        <f aca="false">IF(J97="","",IF(J97&gt;0,"涨",IF(J97&lt;0,"跌","平")))</f>
        <v/>
      </c>
      <c r="L97" s="8" t="str">
        <f aca="false">IF(J97="","",IF(ABS(J97)&lt;=0.003,"小",IF(ABS(J97)&lt;=0.01,"中","大")))</f>
        <v/>
      </c>
      <c r="M97" s="8" t="str">
        <f aca="false">IF(OR(D97="",K97=""),"",IF(D97=K97,"√","×"))</f>
        <v/>
      </c>
      <c r="N97" s="8" t="str">
        <f aca="false">IF(OR(E97="",L97=""),"",IF(E97=L97,"√","×"))</f>
        <v/>
      </c>
      <c r="O97" s="8"/>
      <c r="P97" s="8"/>
      <c r="Q97" s="8"/>
    </row>
    <row r="98" customFormat="false" ht="15" hidden="false" customHeight="true" outlineLevel="0" collapsed="false">
      <c r="A98" s="4"/>
      <c r="B98" s="4"/>
      <c r="C98" s="5"/>
      <c r="D98" s="4"/>
      <c r="E98" s="4"/>
      <c r="F98" s="4"/>
      <c r="G98" s="4"/>
      <c r="H98" s="4"/>
      <c r="I98" s="5"/>
      <c r="J98" s="7" t="str">
        <f aca="false">IF(OR(I98="",C98=""),"",(I98-C98)/C98)</f>
        <v/>
      </c>
      <c r="K98" s="4" t="str">
        <f aca="false">IF(J98="","",IF(J98&gt;0,"涨",IF(J98&lt;0,"跌","平")))</f>
        <v/>
      </c>
      <c r="L98" s="4" t="str">
        <f aca="false">IF(J98="","",IF(ABS(J98)&lt;=0.003,"小",IF(ABS(J98)&lt;=0.01,"中","大")))</f>
        <v/>
      </c>
      <c r="M98" s="4" t="str">
        <f aca="false">IF(OR(D98="",K98=""),"",IF(D98=K98,"√","×"))</f>
        <v/>
      </c>
      <c r="N98" s="4" t="str">
        <f aca="false">IF(OR(E98="",L98=""),"",IF(E98=L98,"√","×"))</f>
        <v/>
      </c>
      <c r="O98" s="4"/>
      <c r="P98" s="4"/>
      <c r="Q98" s="4"/>
    </row>
    <row r="99" customFormat="false" ht="15" hidden="false" customHeight="true" outlineLevel="0" collapsed="false">
      <c r="A99" s="8"/>
      <c r="B99" s="8"/>
      <c r="C99" s="9"/>
      <c r="D99" s="8"/>
      <c r="E99" s="8"/>
      <c r="F99" s="8"/>
      <c r="G99" s="8"/>
      <c r="H99" s="8"/>
      <c r="I99" s="9"/>
      <c r="J99" s="11" t="str">
        <f aca="false">IF(OR(I99="",C99=""),"",(I99-C99)/C99)</f>
        <v/>
      </c>
      <c r="K99" s="8" t="str">
        <f aca="false">IF(J99="","",IF(J99&gt;0,"涨",IF(J99&lt;0,"跌","平")))</f>
        <v/>
      </c>
      <c r="L99" s="8" t="str">
        <f aca="false">IF(J99="","",IF(ABS(J99)&lt;=0.003,"小",IF(ABS(J99)&lt;=0.01,"中","大")))</f>
        <v/>
      </c>
      <c r="M99" s="8" t="str">
        <f aca="false">IF(OR(D99="",K99=""),"",IF(D99=K99,"√","×"))</f>
        <v/>
      </c>
      <c r="N99" s="8" t="str">
        <f aca="false">IF(OR(E99="",L99=""),"",IF(E99=L99,"√","×"))</f>
        <v/>
      </c>
      <c r="O99" s="8"/>
      <c r="P99" s="8"/>
      <c r="Q99" s="8"/>
    </row>
    <row r="100" customFormat="false" ht="15" hidden="false" customHeight="true" outlineLevel="0" collapsed="false">
      <c r="A100" s="4"/>
      <c r="B100" s="4"/>
      <c r="C100" s="5"/>
      <c r="D100" s="4"/>
      <c r="E100" s="4"/>
      <c r="F100" s="4"/>
      <c r="G100" s="4"/>
      <c r="H100" s="4"/>
      <c r="I100" s="5"/>
      <c r="J100" s="7" t="str">
        <f aca="false">IF(OR(I100="",C100=""),"",(I100-C100)/C100)</f>
        <v/>
      </c>
      <c r="K100" s="4" t="str">
        <f aca="false">IF(J100="","",IF(J100&gt;0,"涨",IF(J100&lt;0,"跌","平")))</f>
        <v/>
      </c>
      <c r="L100" s="4" t="str">
        <f aca="false">IF(J100="","",IF(ABS(J100)&lt;=0.003,"小",IF(ABS(J100)&lt;=0.01,"中","大")))</f>
        <v/>
      </c>
      <c r="M100" s="4" t="str">
        <f aca="false">IF(OR(D100="",K100=""),"",IF(D100=K100,"√","×"))</f>
        <v/>
      </c>
      <c r="N100" s="4" t="str">
        <f aca="false">IF(OR(E100="",L100=""),"",IF(E100=L100,"√","×"))</f>
        <v/>
      </c>
      <c r="O100" s="4"/>
      <c r="P100" s="4"/>
      <c r="Q100" s="4"/>
    </row>
    <row r="101" customFormat="false" ht="15" hidden="false" customHeight="true" outlineLevel="0" collapsed="false">
      <c r="A101" s="8"/>
      <c r="B101" s="8"/>
      <c r="C101" s="9"/>
      <c r="D101" s="8"/>
      <c r="E101" s="8"/>
      <c r="F101" s="8"/>
      <c r="G101" s="8"/>
      <c r="H101" s="8"/>
      <c r="I101" s="9"/>
      <c r="J101" s="11" t="str">
        <f aca="false">IF(OR(I101="",C101=""),"",(I101-C101)/C101)</f>
        <v/>
      </c>
      <c r="K101" s="8" t="str">
        <f aca="false">IF(J101="","",IF(J101&gt;0,"涨",IF(J101&lt;0,"跌","平")))</f>
        <v/>
      </c>
      <c r="L101" s="8" t="str">
        <f aca="false">IF(J101="","",IF(ABS(J101)&lt;=0.003,"小",IF(ABS(J101)&lt;=0.01,"中","大")))</f>
        <v/>
      </c>
      <c r="M101" s="8" t="str">
        <f aca="false">IF(OR(D101="",K101=""),"",IF(D101=K101,"√","×"))</f>
        <v/>
      </c>
      <c r="N101" s="8" t="str">
        <f aca="false">IF(OR(E101="",L101=""),"",IF(E101=L101,"√","×"))</f>
        <v/>
      </c>
      <c r="O101" s="8"/>
      <c r="P101" s="8"/>
      <c r="Q101" s="8"/>
    </row>
    <row r="102" customFormat="false" ht="15" hidden="false" customHeight="true" outlineLevel="0" collapsed="false">
      <c r="A102" s="4"/>
      <c r="B102" s="4"/>
      <c r="C102" s="5"/>
      <c r="D102" s="4"/>
      <c r="E102" s="4"/>
      <c r="F102" s="4"/>
      <c r="G102" s="4"/>
      <c r="H102" s="4"/>
      <c r="I102" s="5"/>
      <c r="J102" s="7" t="str">
        <f aca="false">IF(OR(I102="",C102=""),"",(I102-C102)/C102)</f>
        <v/>
      </c>
      <c r="K102" s="4" t="str">
        <f aca="false">IF(J102="","",IF(J102&gt;0,"涨",IF(J102&lt;0,"跌","平")))</f>
        <v/>
      </c>
      <c r="L102" s="4" t="str">
        <f aca="false">IF(J102="","",IF(ABS(J102)&lt;=0.003,"小",IF(ABS(J102)&lt;=0.01,"中","大")))</f>
        <v/>
      </c>
      <c r="M102" s="4" t="str">
        <f aca="false">IF(OR(D102="",K102=""),"",IF(D102=K102,"√","×"))</f>
        <v/>
      </c>
      <c r="N102" s="4" t="str">
        <f aca="false">IF(OR(E102="",L102=""),"",IF(E102=L102,"√","×"))</f>
        <v/>
      </c>
      <c r="O102" s="4"/>
      <c r="P102" s="4"/>
      <c r="Q102" s="4"/>
    </row>
    <row r="103" customFormat="false" ht="15" hidden="false" customHeight="true" outlineLevel="0" collapsed="false">
      <c r="A103" s="8"/>
      <c r="B103" s="8"/>
      <c r="C103" s="9"/>
      <c r="D103" s="8"/>
      <c r="E103" s="8"/>
      <c r="F103" s="8"/>
      <c r="G103" s="8"/>
      <c r="H103" s="8"/>
      <c r="I103" s="9"/>
      <c r="J103" s="11" t="str">
        <f aca="false">IF(OR(I103="",C103=""),"",(I103-C103)/C103)</f>
        <v/>
      </c>
      <c r="K103" s="8" t="str">
        <f aca="false">IF(J103="","",IF(J103&gt;0,"涨",IF(J103&lt;0,"跌","平")))</f>
        <v/>
      </c>
      <c r="L103" s="8" t="str">
        <f aca="false">IF(J103="","",IF(ABS(J103)&lt;=0.003,"小",IF(ABS(J103)&lt;=0.01,"中","大")))</f>
        <v/>
      </c>
      <c r="M103" s="8" t="str">
        <f aca="false">IF(OR(D103="",K103=""),"",IF(D103=K103,"√","×"))</f>
        <v/>
      </c>
      <c r="N103" s="8" t="str">
        <f aca="false">IF(OR(E103="",L103=""),"",IF(E103=L103,"√","×"))</f>
        <v/>
      </c>
      <c r="O103" s="8"/>
      <c r="P103" s="8"/>
      <c r="Q103" s="8"/>
    </row>
    <row r="104" customFormat="false" ht="15" hidden="false" customHeight="true" outlineLevel="0" collapsed="false">
      <c r="A104" s="4"/>
      <c r="B104" s="4"/>
      <c r="C104" s="5"/>
      <c r="D104" s="4"/>
      <c r="E104" s="4"/>
      <c r="F104" s="4"/>
      <c r="G104" s="4"/>
      <c r="H104" s="4"/>
      <c r="I104" s="5"/>
      <c r="J104" s="7" t="str">
        <f aca="false">IF(OR(I104="",C104=""),"",(I104-C104)/C104)</f>
        <v/>
      </c>
      <c r="K104" s="4" t="str">
        <f aca="false">IF(J104="","",IF(J104&gt;0,"涨",IF(J104&lt;0,"跌","平")))</f>
        <v/>
      </c>
      <c r="L104" s="4" t="str">
        <f aca="false">IF(J104="","",IF(ABS(J104)&lt;=0.003,"小",IF(ABS(J104)&lt;=0.01,"中","大")))</f>
        <v/>
      </c>
      <c r="M104" s="4" t="str">
        <f aca="false">IF(OR(D104="",K104=""),"",IF(D104=K104,"√","×"))</f>
        <v/>
      </c>
      <c r="N104" s="4" t="str">
        <f aca="false">IF(OR(E104="",L104=""),"",IF(E104=L104,"√","×"))</f>
        <v/>
      </c>
      <c r="O104" s="4"/>
      <c r="P104" s="4"/>
      <c r="Q104" s="4"/>
    </row>
    <row r="105" customFormat="false" ht="15" hidden="false" customHeight="true" outlineLevel="0" collapsed="false">
      <c r="A105" s="8"/>
      <c r="B105" s="8"/>
      <c r="C105" s="9"/>
      <c r="D105" s="8"/>
      <c r="E105" s="8"/>
      <c r="F105" s="8"/>
      <c r="G105" s="8"/>
      <c r="H105" s="8"/>
      <c r="I105" s="9"/>
      <c r="J105" s="11" t="str">
        <f aca="false">IF(OR(I105="",C105=""),"",(I105-C105)/C105)</f>
        <v/>
      </c>
      <c r="K105" s="8" t="str">
        <f aca="false">IF(J105="","",IF(J105&gt;0,"涨",IF(J105&lt;0,"跌","平")))</f>
        <v/>
      </c>
      <c r="L105" s="8" t="str">
        <f aca="false">IF(J105="","",IF(ABS(J105)&lt;=0.003,"小",IF(ABS(J105)&lt;=0.01,"中","大")))</f>
        <v/>
      </c>
      <c r="M105" s="8" t="str">
        <f aca="false">IF(OR(D105="",K105=""),"",IF(D105=K105,"√","×"))</f>
        <v/>
      </c>
      <c r="N105" s="8" t="str">
        <f aca="false">IF(OR(E105="",L105=""),"",IF(E105=L105,"√","×"))</f>
        <v/>
      </c>
      <c r="O105" s="8"/>
      <c r="P105" s="8"/>
      <c r="Q105" s="8"/>
    </row>
    <row r="106" customFormat="false" ht="15" hidden="false" customHeight="true" outlineLevel="0" collapsed="false">
      <c r="A106" s="4"/>
      <c r="B106" s="4"/>
      <c r="C106" s="5"/>
      <c r="D106" s="4"/>
      <c r="E106" s="4"/>
      <c r="F106" s="4"/>
      <c r="G106" s="4"/>
      <c r="H106" s="4"/>
      <c r="I106" s="5"/>
      <c r="J106" s="7" t="str">
        <f aca="false">IF(OR(I106="",C106=""),"",(I106-C106)/C106)</f>
        <v/>
      </c>
      <c r="K106" s="4" t="str">
        <f aca="false">IF(J106="","",IF(J106&gt;0,"涨",IF(J106&lt;0,"跌","平")))</f>
        <v/>
      </c>
      <c r="L106" s="4" t="str">
        <f aca="false">IF(J106="","",IF(ABS(J106)&lt;=0.003,"小",IF(ABS(J106)&lt;=0.01,"中","大")))</f>
        <v/>
      </c>
      <c r="M106" s="4" t="str">
        <f aca="false">IF(OR(D106="",K106=""),"",IF(D106=K106,"√","×"))</f>
        <v/>
      </c>
      <c r="N106" s="4" t="str">
        <f aca="false">IF(OR(E106="",L106=""),"",IF(E106=L106,"√","×"))</f>
        <v/>
      </c>
      <c r="O106" s="4"/>
      <c r="P106" s="4"/>
      <c r="Q106" s="4"/>
    </row>
    <row r="107" customFormat="false" ht="15" hidden="false" customHeight="true" outlineLevel="0" collapsed="false">
      <c r="A107" s="8"/>
      <c r="B107" s="8"/>
      <c r="C107" s="9"/>
      <c r="D107" s="8"/>
      <c r="E107" s="8"/>
      <c r="F107" s="8"/>
      <c r="G107" s="8"/>
      <c r="H107" s="8"/>
      <c r="I107" s="9"/>
      <c r="J107" s="11" t="str">
        <f aca="false">IF(OR(I107="",C107=""),"",(I107-C107)/C107)</f>
        <v/>
      </c>
      <c r="K107" s="8" t="str">
        <f aca="false">IF(J107="","",IF(J107&gt;0,"涨",IF(J107&lt;0,"跌","平")))</f>
        <v/>
      </c>
      <c r="L107" s="8" t="str">
        <f aca="false">IF(J107="","",IF(ABS(J107)&lt;=0.003,"小",IF(ABS(J107)&lt;=0.01,"中","大")))</f>
        <v/>
      </c>
      <c r="M107" s="8" t="str">
        <f aca="false">IF(OR(D107="",K107=""),"",IF(D107=K107,"√","×"))</f>
        <v/>
      </c>
      <c r="N107" s="8" t="str">
        <f aca="false">IF(OR(E107="",L107=""),"",IF(E107=L107,"√","×"))</f>
        <v/>
      </c>
      <c r="O107" s="8"/>
      <c r="P107" s="8"/>
      <c r="Q107" s="8"/>
    </row>
    <row r="108" customFormat="false" ht="15" hidden="false" customHeight="true" outlineLevel="0" collapsed="false">
      <c r="A108" s="4"/>
      <c r="B108" s="4"/>
      <c r="C108" s="5"/>
      <c r="D108" s="4"/>
      <c r="E108" s="4"/>
      <c r="F108" s="4"/>
      <c r="G108" s="4"/>
      <c r="H108" s="4"/>
      <c r="I108" s="5"/>
      <c r="J108" s="7" t="str">
        <f aca="false">IF(OR(I108="",C108=""),"",(I108-C108)/C108)</f>
        <v/>
      </c>
      <c r="K108" s="4" t="str">
        <f aca="false">IF(J108="","",IF(J108&gt;0,"涨",IF(J108&lt;0,"跌","平")))</f>
        <v/>
      </c>
      <c r="L108" s="4" t="str">
        <f aca="false">IF(J108="","",IF(ABS(J108)&lt;=0.003,"小",IF(ABS(J108)&lt;=0.01,"中","大")))</f>
        <v/>
      </c>
      <c r="M108" s="4" t="str">
        <f aca="false">IF(OR(D108="",K108=""),"",IF(D108=K108,"√","×"))</f>
        <v/>
      </c>
      <c r="N108" s="4" t="str">
        <f aca="false">IF(OR(E108="",L108=""),"",IF(E108=L108,"√","×"))</f>
        <v/>
      </c>
      <c r="O108" s="4"/>
      <c r="P108" s="4"/>
      <c r="Q108" s="4"/>
    </row>
    <row r="109" customFormat="false" ht="15" hidden="false" customHeight="true" outlineLevel="0" collapsed="false">
      <c r="A109" s="8"/>
      <c r="B109" s="8"/>
      <c r="C109" s="9"/>
      <c r="D109" s="8"/>
      <c r="E109" s="8"/>
      <c r="F109" s="8"/>
      <c r="G109" s="8"/>
      <c r="H109" s="8"/>
      <c r="I109" s="9"/>
      <c r="J109" s="11" t="str">
        <f aca="false">IF(OR(I109="",C109=""),"",(I109-C109)/C109)</f>
        <v/>
      </c>
      <c r="K109" s="8" t="str">
        <f aca="false">IF(J109="","",IF(J109&gt;0,"涨",IF(J109&lt;0,"跌","平")))</f>
        <v/>
      </c>
      <c r="L109" s="8" t="str">
        <f aca="false">IF(J109="","",IF(ABS(J109)&lt;=0.003,"小",IF(ABS(J109)&lt;=0.01,"中","大")))</f>
        <v/>
      </c>
      <c r="M109" s="8" t="str">
        <f aca="false">IF(OR(D109="",K109=""),"",IF(D109=K109,"√","×"))</f>
        <v/>
      </c>
      <c r="N109" s="8" t="str">
        <f aca="false">IF(OR(E109="",L109=""),"",IF(E109=L109,"√","×"))</f>
        <v/>
      </c>
      <c r="O109" s="8"/>
      <c r="P109" s="8"/>
      <c r="Q109" s="8"/>
    </row>
    <row r="110" customFormat="false" ht="15" hidden="false" customHeight="true" outlineLevel="0" collapsed="false">
      <c r="A110" s="4"/>
      <c r="B110" s="4"/>
      <c r="C110" s="5"/>
      <c r="D110" s="4"/>
      <c r="E110" s="4"/>
      <c r="F110" s="4"/>
      <c r="G110" s="4"/>
      <c r="H110" s="4"/>
      <c r="I110" s="5"/>
      <c r="J110" s="7" t="str">
        <f aca="false">IF(OR(I110="",C110=""),"",(I110-C110)/C110)</f>
        <v/>
      </c>
      <c r="K110" s="4" t="str">
        <f aca="false">IF(J110="","",IF(J110&gt;0,"涨",IF(J110&lt;0,"跌","平")))</f>
        <v/>
      </c>
      <c r="L110" s="4" t="str">
        <f aca="false">IF(J110="","",IF(ABS(J110)&lt;=0.003,"小",IF(ABS(J110)&lt;=0.01,"中","大")))</f>
        <v/>
      </c>
      <c r="M110" s="4" t="str">
        <f aca="false">IF(OR(D110="",K110=""),"",IF(D110=K110,"√","×"))</f>
        <v/>
      </c>
      <c r="N110" s="4" t="str">
        <f aca="false">IF(OR(E110="",L110=""),"",IF(E110=L110,"√","×"))</f>
        <v/>
      </c>
      <c r="O110" s="4"/>
      <c r="P110" s="4"/>
      <c r="Q110" s="4"/>
    </row>
    <row r="111" customFormat="false" ht="15" hidden="false" customHeight="true" outlineLevel="0" collapsed="false">
      <c r="A111" s="8"/>
      <c r="B111" s="8"/>
      <c r="C111" s="9"/>
      <c r="D111" s="8"/>
      <c r="E111" s="8"/>
      <c r="F111" s="8"/>
      <c r="G111" s="8"/>
      <c r="H111" s="8"/>
      <c r="I111" s="9"/>
      <c r="J111" s="11" t="str">
        <f aca="false">IF(OR(I111="",C111=""),"",(I111-C111)/C111)</f>
        <v/>
      </c>
      <c r="K111" s="8" t="str">
        <f aca="false">IF(J111="","",IF(J111&gt;0,"涨",IF(J111&lt;0,"跌","平")))</f>
        <v/>
      </c>
      <c r="L111" s="8" t="str">
        <f aca="false">IF(J111="","",IF(ABS(J111)&lt;=0.003,"小",IF(ABS(J111)&lt;=0.01,"中","大")))</f>
        <v/>
      </c>
      <c r="M111" s="8" t="str">
        <f aca="false">IF(OR(D111="",K111=""),"",IF(D111=K111,"√","×"))</f>
        <v/>
      </c>
      <c r="N111" s="8" t="str">
        <f aca="false">IF(OR(E111="",L111=""),"",IF(E111=L111,"√","×"))</f>
        <v/>
      </c>
      <c r="O111" s="8"/>
      <c r="P111" s="8"/>
      <c r="Q111" s="8"/>
    </row>
    <row r="112" customFormat="false" ht="15" hidden="false" customHeight="true" outlineLevel="0" collapsed="false">
      <c r="A112" s="4"/>
      <c r="B112" s="4"/>
      <c r="C112" s="5"/>
      <c r="D112" s="4"/>
      <c r="E112" s="4"/>
      <c r="F112" s="4"/>
      <c r="G112" s="4"/>
      <c r="H112" s="4"/>
      <c r="I112" s="5"/>
      <c r="J112" s="7" t="str">
        <f aca="false">IF(OR(I112="",C112=""),"",(I112-C112)/C112)</f>
        <v/>
      </c>
      <c r="K112" s="4" t="str">
        <f aca="false">IF(J112="","",IF(J112&gt;0,"涨",IF(J112&lt;0,"跌","平")))</f>
        <v/>
      </c>
      <c r="L112" s="4" t="str">
        <f aca="false">IF(J112="","",IF(ABS(J112)&lt;=0.003,"小",IF(ABS(J112)&lt;=0.01,"中","大")))</f>
        <v/>
      </c>
      <c r="M112" s="4" t="str">
        <f aca="false">IF(OR(D112="",K112=""),"",IF(D112=K112,"√","×"))</f>
        <v/>
      </c>
      <c r="N112" s="4" t="str">
        <f aca="false">IF(OR(E112="",L112=""),"",IF(E112=L112,"√","×"))</f>
        <v/>
      </c>
      <c r="O112" s="4"/>
      <c r="P112" s="4"/>
      <c r="Q112" s="4"/>
    </row>
    <row r="113" customFormat="false" ht="15" hidden="false" customHeight="true" outlineLevel="0" collapsed="false">
      <c r="A113" s="8"/>
      <c r="B113" s="8"/>
      <c r="C113" s="9"/>
      <c r="D113" s="8"/>
      <c r="E113" s="8"/>
      <c r="F113" s="8"/>
      <c r="G113" s="8"/>
      <c r="H113" s="8"/>
      <c r="I113" s="9"/>
      <c r="J113" s="11" t="str">
        <f aca="false">IF(OR(I113="",C113=""),"",(I113-C113)/C113)</f>
        <v/>
      </c>
      <c r="K113" s="8" t="str">
        <f aca="false">IF(J113="","",IF(J113&gt;0,"涨",IF(J113&lt;0,"跌","平")))</f>
        <v/>
      </c>
      <c r="L113" s="8" t="str">
        <f aca="false">IF(J113="","",IF(ABS(J113)&lt;=0.003,"小",IF(ABS(J113)&lt;=0.01,"中","大")))</f>
        <v/>
      </c>
      <c r="M113" s="8" t="str">
        <f aca="false">IF(OR(D113="",K113=""),"",IF(D113=K113,"√","×"))</f>
        <v/>
      </c>
      <c r="N113" s="8" t="str">
        <f aca="false">IF(OR(E113="",L113=""),"",IF(E113=L113,"√","×"))</f>
        <v/>
      </c>
      <c r="O113" s="8"/>
      <c r="P113" s="8"/>
      <c r="Q113" s="8"/>
    </row>
    <row r="114" customFormat="false" ht="15" hidden="false" customHeight="true" outlineLevel="0" collapsed="false">
      <c r="A114" s="4"/>
      <c r="B114" s="4"/>
      <c r="C114" s="5"/>
      <c r="D114" s="4"/>
      <c r="E114" s="4"/>
      <c r="F114" s="4"/>
      <c r="G114" s="4"/>
      <c r="H114" s="4"/>
      <c r="I114" s="5"/>
      <c r="J114" s="7" t="str">
        <f aca="false">IF(OR(I114="",C114=""),"",(I114-C114)/C114)</f>
        <v/>
      </c>
      <c r="K114" s="4" t="str">
        <f aca="false">IF(J114="","",IF(J114&gt;0,"涨",IF(J114&lt;0,"跌","平")))</f>
        <v/>
      </c>
      <c r="L114" s="4" t="str">
        <f aca="false">IF(J114="","",IF(ABS(J114)&lt;=0.003,"小",IF(ABS(J114)&lt;=0.01,"中","大")))</f>
        <v/>
      </c>
      <c r="M114" s="4" t="str">
        <f aca="false">IF(OR(D114="",K114=""),"",IF(D114=K114,"√","×"))</f>
        <v/>
      </c>
      <c r="N114" s="4" t="str">
        <f aca="false">IF(OR(E114="",L114=""),"",IF(E114=L114,"√","×"))</f>
        <v/>
      </c>
      <c r="O114" s="4"/>
      <c r="P114" s="4"/>
      <c r="Q114" s="4"/>
    </row>
    <row r="115" customFormat="false" ht="15" hidden="false" customHeight="true" outlineLevel="0" collapsed="false">
      <c r="A115" s="8"/>
      <c r="B115" s="8"/>
      <c r="C115" s="9"/>
      <c r="D115" s="8"/>
      <c r="E115" s="8"/>
      <c r="F115" s="8"/>
      <c r="G115" s="8"/>
      <c r="H115" s="8"/>
      <c r="I115" s="9"/>
      <c r="J115" s="11" t="str">
        <f aca="false">IF(OR(I115="",C115=""),"",(I115-C115)/C115)</f>
        <v/>
      </c>
      <c r="K115" s="8" t="str">
        <f aca="false">IF(J115="","",IF(J115&gt;0,"涨",IF(J115&lt;0,"跌","平")))</f>
        <v/>
      </c>
      <c r="L115" s="8" t="str">
        <f aca="false">IF(J115="","",IF(ABS(J115)&lt;=0.003,"小",IF(ABS(J115)&lt;=0.01,"中","大")))</f>
        <v/>
      </c>
      <c r="M115" s="8" t="str">
        <f aca="false">IF(OR(D115="",K115=""),"",IF(D115=K115,"√","×"))</f>
        <v/>
      </c>
      <c r="N115" s="8" t="str">
        <f aca="false">IF(OR(E115="",L115=""),"",IF(E115=L115,"√","×"))</f>
        <v/>
      </c>
      <c r="O115" s="8"/>
      <c r="P115" s="8"/>
      <c r="Q115" s="8"/>
    </row>
    <row r="116" customFormat="false" ht="15" hidden="false" customHeight="true" outlineLevel="0" collapsed="false">
      <c r="A116" s="4"/>
      <c r="B116" s="4"/>
      <c r="C116" s="5"/>
      <c r="D116" s="4"/>
      <c r="E116" s="4"/>
      <c r="F116" s="4"/>
      <c r="G116" s="4"/>
      <c r="H116" s="4"/>
      <c r="I116" s="5"/>
      <c r="J116" s="7" t="str">
        <f aca="false">IF(OR(I116="",C116=""),"",(I116-C116)/C116)</f>
        <v/>
      </c>
      <c r="K116" s="4" t="str">
        <f aca="false">IF(J116="","",IF(J116&gt;0,"涨",IF(J116&lt;0,"跌","平")))</f>
        <v/>
      </c>
      <c r="L116" s="4" t="str">
        <f aca="false">IF(J116="","",IF(ABS(J116)&lt;=0.003,"小",IF(ABS(J116)&lt;=0.01,"中","大")))</f>
        <v/>
      </c>
      <c r="M116" s="4" t="str">
        <f aca="false">IF(OR(D116="",K116=""),"",IF(D116=K116,"√","×"))</f>
        <v/>
      </c>
      <c r="N116" s="4" t="str">
        <f aca="false">IF(OR(E116="",L116=""),"",IF(E116=L116,"√","×"))</f>
        <v/>
      </c>
      <c r="O116" s="4"/>
      <c r="P116" s="4"/>
      <c r="Q116" s="4"/>
    </row>
    <row r="117" customFormat="false" ht="15" hidden="false" customHeight="true" outlineLevel="0" collapsed="false">
      <c r="A117" s="8"/>
      <c r="B117" s="8"/>
      <c r="C117" s="9"/>
      <c r="D117" s="8"/>
      <c r="E117" s="8"/>
      <c r="F117" s="8"/>
      <c r="G117" s="8"/>
      <c r="H117" s="8"/>
      <c r="I117" s="9"/>
      <c r="J117" s="11" t="str">
        <f aca="false">IF(OR(I117="",C117=""),"",(I117-C117)/C117)</f>
        <v/>
      </c>
      <c r="K117" s="8" t="str">
        <f aca="false">IF(J117="","",IF(J117&gt;0,"涨",IF(J117&lt;0,"跌","平")))</f>
        <v/>
      </c>
      <c r="L117" s="8" t="str">
        <f aca="false">IF(J117="","",IF(ABS(J117)&lt;=0.003,"小",IF(ABS(J117)&lt;=0.01,"中","大")))</f>
        <v/>
      </c>
      <c r="M117" s="8" t="str">
        <f aca="false">IF(OR(D117="",K117=""),"",IF(D117=K117,"√","×"))</f>
        <v/>
      </c>
      <c r="N117" s="8" t="str">
        <f aca="false">IF(OR(E117="",L117=""),"",IF(E117=L117,"√","×"))</f>
        <v/>
      </c>
      <c r="O117" s="8"/>
      <c r="P117" s="8"/>
      <c r="Q117" s="8"/>
    </row>
    <row r="118" customFormat="false" ht="15" hidden="false" customHeight="true" outlineLevel="0" collapsed="false">
      <c r="A118" s="4"/>
      <c r="B118" s="4"/>
      <c r="C118" s="5"/>
      <c r="D118" s="4"/>
      <c r="E118" s="4"/>
      <c r="F118" s="4"/>
      <c r="G118" s="4"/>
      <c r="H118" s="4"/>
      <c r="I118" s="5"/>
      <c r="J118" s="7" t="str">
        <f aca="false">IF(OR(I118="",C118=""),"",(I118-C118)/C118)</f>
        <v/>
      </c>
      <c r="K118" s="4" t="str">
        <f aca="false">IF(J118="","",IF(J118&gt;0,"涨",IF(J118&lt;0,"跌","平")))</f>
        <v/>
      </c>
      <c r="L118" s="4" t="str">
        <f aca="false">IF(J118="","",IF(ABS(J118)&lt;=0.003,"小",IF(ABS(J118)&lt;=0.01,"中","大")))</f>
        <v/>
      </c>
      <c r="M118" s="4" t="str">
        <f aca="false">IF(OR(D118="",K118=""),"",IF(D118=K118,"√","×"))</f>
        <v/>
      </c>
      <c r="N118" s="4" t="str">
        <f aca="false">IF(OR(E118="",L118=""),"",IF(E118=L118,"√","×"))</f>
        <v/>
      </c>
      <c r="O118" s="4"/>
      <c r="P118" s="4"/>
      <c r="Q118" s="4"/>
    </row>
    <row r="119" customFormat="false" ht="15" hidden="false" customHeight="true" outlineLevel="0" collapsed="false">
      <c r="A119" s="8"/>
      <c r="B119" s="8"/>
      <c r="C119" s="9"/>
      <c r="D119" s="8"/>
      <c r="E119" s="8"/>
      <c r="F119" s="8"/>
      <c r="G119" s="8"/>
      <c r="H119" s="8"/>
      <c r="I119" s="9"/>
      <c r="J119" s="11" t="str">
        <f aca="false">IF(OR(I119="",C119=""),"",(I119-C119)/C119)</f>
        <v/>
      </c>
      <c r="K119" s="8" t="str">
        <f aca="false">IF(J119="","",IF(J119&gt;0,"涨",IF(J119&lt;0,"跌","平")))</f>
        <v/>
      </c>
      <c r="L119" s="8" t="str">
        <f aca="false">IF(J119="","",IF(ABS(J119)&lt;=0.003,"小",IF(ABS(J119)&lt;=0.01,"中","大")))</f>
        <v/>
      </c>
      <c r="M119" s="8" t="str">
        <f aca="false">IF(OR(D119="",K119=""),"",IF(D119=K119,"√","×"))</f>
        <v/>
      </c>
      <c r="N119" s="8" t="str">
        <f aca="false">IF(OR(E119="",L119=""),"",IF(E119=L119,"√","×"))</f>
        <v/>
      </c>
      <c r="O119" s="8"/>
      <c r="P119" s="8"/>
      <c r="Q119" s="8"/>
    </row>
    <row r="120" customFormat="false" ht="15" hidden="false" customHeight="true" outlineLevel="0" collapsed="false">
      <c r="A120" s="4"/>
      <c r="B120" s="4"/>
      <c r="C120" s="5"/>
      <c r="D120" s="4"/>
      <c r="E120" s="4"/>
      <c r="F120" s="4"/>
      <c r="G120" s="4"/>
      <c r="H120" s="4"/>
      <c r="I120" s="5"/>
      <c r="J120" s="7" t="str">
        <f aca="false">IF(OR(I120="",C120=""),"",(I120-C120)/C120)</f>
        <v/>
      </c>
      <c r="K120" s="4" t="str">
        <f aca="false">IF(J120="","",IF(J120&gt;0,"涨",IF(J120&lt;0,"跌","平")))</f>
        <v/>
      </c>
      <c r="L120" s="4" t="str">
        <f aca="false">IF(J120="","",IF(ABS(J120)&lt;=0.003,"小",IF(ABS(J120)&lt;=0.01,"中","大")))</f>
        <v/>
      </c>
      <c r="M120" s="4" t="str">
        <f aca="false">IF(OR(D120="",K120=""),"",IF(D120=K120,"√","×"))</f>
        <v/>
      </c>
      <c r="N120" s="4" t="str">
        <f aca="false">IF(OR(E120="",L120=""),"",IF(E120=L120,"√","×"))</f>
        <v/>
      </c>
      <c r="O120" s="4"/>
      <c r="P120" s="4"/>
      <c r="Q120" s="4"/>
    </row>
    <row r="121" customFormat="false" ht="15" hidden="false" customHeight="true" outlineLevel="0" collapsed="false">
      <c r="A121" s="8"/>
      <c r="B121" s="8"/>
      <c r="C121" s="9"/>
      <c r="D121" s="8"/>
      <c r="E121" s="8"/>
      <c r="F121" s="8"/>
      <c r="G121" s="8"/>
      <c r="H121" s="8"/>
      <c r="I121" s="9"/>
      <c r="J121" s="11" t="str">
        <f aca="false">IF(OR(I121="",C121=""),"",(I121-C121)/C121)</f>
        <v/>
      </c>
      <c r="K121" s="8" t="str">
        <f aca="false">IF(J121="","",IF(J121&gt;0,"涨",IF(J121&lt;0,"跌","平")))</f>
        <v/>
      </c>
      <c r="L121" s="8" t="str">
        <f aca="false">IF(J121="","",IF(ABS(J121)&lt;=0.003,"小",IF(ABS(J121)&lt;=0.01,"中","大")))</f>
        <v/>
      </c>
      <c r="M121" s="8" t="str">
        <f aca="false">IF(OR(D121="",K121=""),"",IF(D121=K121,"√","×"))</f>
        <v/>
      </c>
      <c r="N121" s="8" t="str">
        <f aca="false">IF(OR(E121="",L121=""),"",IF(E121=L121,"√","×"))</f>
        <v/>
      </c>
      <c r="O121" s="8"/>
      <c r="P121" s="8"/>
      <c r="Q121" s="8"/>
    </row>
    <row r="122" customFormat="false" ht="15" hidden="false" customHeight="true" outlineLevel="0" collapsed="false">
      <c r="A122" s="4"/>
      <c r="B122" s="4"/>
      <c r="C122" s="5"/>
      <c r="D122" s="4"/>
      <c r="E122" s="4"/>
      <c r="F122" s="4"/>
      <c r="G122" s="4"/>
      <c r="H122" s="4"/>
      <c r="I122" s="5"/>
      <c r="J122" s="7" t="str">
        <f aca="false">IF(OR(I122="",C122=""),"",(I122-C122)/C122)</f>
        <v/>
      </c>
      <c r="K122" s="4" t="str">
        <f aca="false">IF(J122="","",IF(J122&gt;0,"涨",IF(J122&lt;0,"跌","平")))</f>
        <v/>
      </c>
      <c r="L122" s="4" t="str">
        <f aca="false">IF(J122="","",IF(ABS(J122)&lt;=0.003,"小",IF(ABS(J122)&lt;=0.01,"中","大")))</f>
        <v/>
      </c>
      <c r="M122" s="4" t="str">
        <f aca="false">IF(OR(D122="",K122=""),"",IF(D122=K122,"√","×"))</f>
        <v/>
      </c>
      <c r="N122" s="4" t="str">
        <f aca="false">IF(OR(E122="",L122=""),"",IF(E122=L122,"√","×"))</f>
        <v/>
      </c>
      <c r="O122" s="4"/>
      <c r="P122" s="4"/>
      <c r="Q122" s="4"/>
    </row>
    <row r="123" customFormat="false" ht="15" hidden="false" customHeight="true" outlineLevel="0" collapsed="false">
      <c r="A123" s="8"/>
      <c r="B123" s="8"/>
      <c r="C123" s="9"/>
      <c r="D123" s="8"/>
      <c r="E123" s="8"/>
      <c r="F123" s="8"/>
      <c r="G123" s="8"/>
      <c r="H123" s="8"/>
      <c r="I123" s="9"/>
      <c r="J123" s="11" t="str">
        <f aca="false">IF(OR(I123="",C123=""),"",(I123-C123)/C123)</f>
        <v/>
      </c>
      <c r="K123" s="8" t="str">
        <f aca="false">IF(J123="","",IF(J123&gt;0,"涨",IF(J123&lt;0,"跌","平")))</f>
        <v/>
      </c>
      <c r="L123" s="8" t="str">
        <f aca="false">IF(J123="","",IF(ABS(J123)&lt;=0.003,"小",IF(ABS(J123)&lt;=0.01,"中","大")))</f>
        <v/>
      </c>
      <c r="M123" s="8" t="str">
        <f aca="false">IF(OR(D123="",K123=""),"",IF(D123=K123,"√","×"))</f>
        <v/>
      </c>
      <c r="N123" s="8" t="str">
        <f aca="false">IF(OR(E123="",L123=""),"",IF(E123=L123,"√","×"))</f>
        <v/>
      </c>
      <c r="O123" s="8"/>
      <c r="P123" s="8"/>
      <c r="Q123" s="8"/>
    </row>
    <row r="124" customFormat="false" ht="15" hidden="false" customHeight="true" outlineLevel="0" collapsed="false">
      <c r="A124" s="4"/>
      <c r="B124" s="4"/>
      <c r="C124" s="5"/>
      <c r="D124" s="4"/>
      <c r="E124" s="4"/>
      <c r="F124" s="4"/>
      <c r="G124" s="4"/>
      <c r="H124" s="4"/>
      <c r="I124" s="5"/>
      <c r="J124" s="7" t="str">
        <f aca="false">IF(OR(I124="",C124=""),"",(I124-C124)/C124)</f>
        <v/>
      </c>
      <c r="K124" s="4" t="str">
        <f aca="false">IF(J124="","",IF(J124&gt;0,"涨",IF(J124&lt;0,"跌","平")))</f>
        <v/>
      </c>
      <c r="L124" s="4" t="str">
        <f aca="false">IF(J124="","",IF(ABS(J124)&lt;=0.003,"小",IF(ABS(J124)&lt;=0.01,"中","大")))</f>
        <v/>
      </c>
      <c r="M124" s="4" t="str">
        <f aca="false">IF(OR(D124="",K124=""),"",IF(D124=K124,"√","×"))</f>
        <v/>
      </c>
      <c r="N124" s="4" t="str">
        <f aca="false">IF(OR(E124="",L124=""),"",IF(E124=L124,"√","×"))</f>
        <v/>
      </c>
      <c r="O124" s="4"/>
      <c r="P124" s="4"/>
      <c r="Q124" s="4"/>
    </row>
    <row r="125" customFormat="false" ht="15" hidden="false" customHeight="true" outlineLevel="0" collapsed="false">
      <c r="A125" s="8"/>
      <c r="B125" s="8"/>
      <c r="C125" s="9"/>
      <c r="D125" s="8"/>
      <c r="E125" s="8"/>
      <c r="F125" s="8"/>
      <c r="G125" s="8"/>
      <c r="H125" s="8"/>
      <c r="I125" s="9"/>
      <c r="J125" s="11" t="str">
        <f aca="false">IF(OR(I125="",C125=""),"",(I125-C125)/C125)</f>
        <v/>
      </c>
      <c r="K125" s="8" t="str">
        <f aca="false">IF(J125="","",IF(J125&gt;0,"涨",IF(J125&lt;0,"跌","平")))</f>
        <v/>
      </c>
      <c r="L125" s="8" t="str">
        <f aca="false">IF(J125="","",IF(ABS(J125)&lt;=0.003,"小",IF(ABS(J125)&lt;=0.01,"中","大")))</f>
        <v/>
      </c>
      <c r="M125" s="8" t="str">
        <f aca="false">IF(OR(D125="",K125=""),"",IF(D125=K125,"√","×"))</f>
        <v/>
      </c>
      <c r="N125" s="8" t="str">
        <f aca="false">IF(OR(E125="",L125=""),"",IF(E125=L125,"√","×"))</f>
        <v/>
      </c>
      <c r="O125" s="8"/>
      <c r="P125" s="8"/>
      <c r="Q125" s="8"/>
    </row>
    <row r="126" customFormat="false" ht="15" hidden="false" customHeight="true" outlineLevel="0" collapsed="false">
      <c r="A126" s="4"/>
      <c r="B126" s="4"/>
      <c r="C126" s="5"/>
      <c r="D126" s="4"/>
      <c r="E126" s="4"/>
      <c r="F126" s="4"/>
      <c r="G126" s="4"/>
      <c r="H126" s="4"/>
      <c r="I126" s="5"/>
      <c r="J126" s="7" t="str">
        <f aca="false">IF(OR(I126="",C126=""),"",(I126-C126)/C126)</f>
        <v/>
      </c>
      <c r="K126" s="4" t="str">
        <f aca="false">IF(J126="","",IF(J126&gt;0,"涨",IF(J126&lt;0,"跌","平")))</f>
        <v/>
      </c>
      <c r="L126" s="4" t="str">
        <f aca="false">IF(J126="","",IF(ABS(J126)&lt;=0.003,"小",IF(ABS(J126)&lt;=0.01,"中","大")))</f>
        <v/>
      </c>
      <c r="M126" s="4" t="str">
        <f aca="false">IF(OR(D126="",K126=""),"",IF(D126=K126,"√","×"))</f>
        <v/>
      </c>
      <c r="N126" s="4" t="str">
        <f aca="false">IF(OR(E126="",L126=""),"",IF(E126=L126,"√","×"))</f>
        <v/>
      </c>
      <c r="O126" s="4"/>
      <c r="P126" s="4"/>
      <c r="Q126" s="4"/>
    </row>
    <row r="127" customFormat="false" ht="15" hidden="false" customHeight="true" outlineLevel="0" collapsed="false">
      <c r="A127" s="8"/>
      <c r="B127" s="8"/>
      <c r="C127" s="9"/>
      <c r="D127" s="8"/>
      <c r="E127" s="8"/>
      <c r="F127" s="8"/>
      <c r="G127" s="8"/>
      <c r="H127" s="8"/>
      <c r="I127" s="9"/>
      <c r="J127" s="11" t="str">
        <f aca="false">IF(OR(I127="",C127=""),"",(I127-C127)/C127)</f>
        <v/>
      </c>
      <c r="K127" s="8" t="str">
        <f aca="false">IF(J127="","",IF(J127&gt;0,"涨",IF(J127&lt;0,"跌","平")))</f>
        <v/>
      </c>
      <c r="L127" s="8" t="str">
        <f aca="false">IF(J127="","",IF(ABS(J127)&lt;=0.003,"小",IF(ABS(J127)&lt;=0.01,"中","大")))</f>
        <v/>
      </c>
      <c r="M127" s="8" t="str">
        <f aca="false">IF(OR(D127="",K127=""),"",IF(D127=K127,"√","×"))</f>
        <v/>
      </c>
      <c r="N127" s="8" t="str">
        <f aca="false">IF(OR(E127="",L127=""),"",IF(E127=L127,"√","×"))</f>
        <v/>
      </c>
      <c r="O127" s="8"/>
      <c r="P127" s="8"/>
      <c r="Q127" s="8"/>
    </row>
    <row r="128" customFormat="false" ht="15" hidden="false" customHeight="true" outlineLevel="0" collapsed="false">
      <c r="A128" s="4"/>
      <c r="B128" s="4"/>
      <c r="C128" s="5"/>
      <c r="D128" s="4"/>
      <c r="E128" s="4"/>
      <c r="F128" s="4"/>
      <c r="G128" s="4"/>
      <c r="H128" s="4"/>
      <c r="I128" s="5"/>
      <c r="J128" s="7" t="str">
        <f aca="false">IF(OR(I128="",C128=""),"",(I128-C128)/C128)</f>
        <v/>
      </c>
      <c r="K128" s="4" t="str">
        <f aca="false">IF(J128="","",IF(J128&gt;0,"涨",IF(J128&lt;0,"跌","平")))</f>
        <v/>
      </c>
      <c r="L128" s="4" t="str">
        <f aca="false">IF(J128="","",IF(ABS(J128)&lt;=0.003,"小",IF(ABS(J128)&lt;=0.01,"中","大")))</f>
        <v/>
      </c>
      <c r="M128" s="4" t="str">
        <f aca="false">IF(OR(D128="",K128=""),"",IF(D128=K128,"√","×"))</f>
        <v/>
      </c>
      <c r="N128" s="4" t="str">
        <f aca="false">IF(OR(E128="",L128=""),"",IF(E128=L128,"√","×"))</f>
        <v/>
      </c>
      <c r="O128" s="4"/>
      <c r="P128" s="4"/>
      <c r="Q128" s="4"/>
    </row>
    <row r="129" customFormat="false" ht="15" hidden="false" customHeight="true" outlineLevel="0" collapsed="false">
      <c r="A129" s="8"/>
      <c r="B129" s="8"/>
      <c r="C129" s="9"/>
      <c r="D129" s="8"/>
      <c r="E129" s="8"/>
      <c r="F129" s="8"/>
      <c r="G129" s="8"/>
      <c r="H129" s="8"/>
      <c r="I129" s="9"/>
      <c r="J129" s="11" t="str">
        <f aca="false">IF(OR(I129="",C129=""),"",(I129-C129)/C129)</f>
        <v/>
      </c>
      <c r="K129" s="8" t="str">
        <f aca="false">IF(J129="","",IF(J129&gt;0,"涨",IF(J129&lt;0,"跌","平")))</f>
        <v/>
      </c>
      <c r="L129" s="8" t="str">
        <f aca="false">IF(J129="","",IF(ABS(J129)&lt;=0.003,"小",IF(ABS(J129)&lt;=0.01,"中","大")))</f>
        <v/>
      </c>
      <c r="M129" s="8" t="str">
        <f aca="false">IF(OR(D129="",K129=""),"",IF(D129=K129,"√","×"))</f>
        <v/>
      </c>
      <c r="N129" s="8" t="str">
        <f aca="false">IF(OR(E129="",L129=""),"",IF(E129=L129,"√","×"))</f>
        <v/>
      </c>
      <c r="O129" s="8"/>
      <c r="P129" s="8"/>
      <c r="Q129" s="8"/>
    </row>
    <row r="130" customFormat="false" ht="15" hidden="false" customHeight="true" outlineLevel="0" collapsed="false">
      <c r="A130" s="4"/>
      <c r="B130" s="4"/>
      <c r="C130" s="5"/>
      <c r="D130" s="4"/>
      <c r="E130" s="4"/>
      <c r="F130" s="4"/>
      <c r="G130" s="4"/>
      <c r="H130" s="4"/>
      <c r="I130" s="5"/>
      <c r="J130" s="7" t="str">
        <f aca="false">IF(OR(I130="",C130=""),"",(I130-C130)/C130)</f>
        <v/>
      </c>
      <c r="K130" s="4" t="str">
        <f aca="false">IF(J130="","",IF(J130&gt;0,"涨",IF(J130&lt;0,"跌","平")))</f>
        <v/>
      </c>
      <c r="L130" s="4" t="str">
        <f aca="false">IF(J130="","",IF(ABS(J130)&lt;=0.003,"小",IF(ABS(J130)&lt;=0.01,"中","大")))</f>
        <v/>
      </c>
      <c r="M130" s="4" t="str">
        <f aca="false">IF(OR(D130="",K130=""),"",IF(D130=K130,"√","×"))</f>
        <v/>
      </c>
      <c r="N130" s="4" t="str">
        <f aca="false">IF(OR(E130="",L130=""),"",IF(E130=L130,"√","×"))</f>
        <v/>
      </c>
      <c r="O130" s="4"/>
      <c r="P130" s="4"/>
      <c r="Q130" s="4"/>
    </row>
    <row r="131" customFormat="false" ht="15" hidden="false" customHeight="true" outlineLevel="0" collapsed="false">
      <c r="A131" s="8"/>
      <c r="B131" s="8"/>
      <c r="C131" s="9"/>
      <c r="D131" s="8"/>
      <c r="E131" s="8"/>
      <c r="F131" s="8"/>
      <c r="G131" s="8"/>
      <c r="H131" s="8"/>
      <c r="I131" s="9"/>
      <c r="J131" s="11" t="str">
        <f aca="false">IF(OR(I131="",C131=""),"",(I131-C131)/C131)</f>
        <v/>
      </c>
      <c r="K131" s="8" t="str">
        <f aca="false">IF(J131="","",IF(J131&gt;0,"涨",IF(J131&lt;0,"跌","平")))</f>
        <v/>
      </c>
      <c r="L131" s="8" t="str">
        <f aca="false">IF(J131="","",IF(ABS(J131)&lt;=0.003,"小",IF(ABS(J131)&lt;=0.01,"中","大")))</f>
        <v/>
      </c>
      <c r="M131" s="8" t="str">
        <f aca="false">IF(OR(D131="",K131=""),"",IF(D131=K131,"√","×"))</f>
        <v/>
      </c>
      <c r="N131" s="8" t="str">
        <f aca="false">IF(OR(E131="",L131=""),"",IF(E131=L131,"√","×"))</f>
        <v/>
      </c>
      <c r="O131" s="8"/>
      <c r="P131" s="8"/>
      <c r="Q131" s="8"/>
    </row>
    <row r="132" customFormat="false" ht="15" hidden="false" customHeight="true" outlineLevel="0" collapsed="false">
      <c r="A132" s="4"/>
      <c r="B132" s="4"/>
      <c r="C132" s="5"/>
      <c r="D132" s="4"/>
      <c r="E132" s="4"/>
      <c r="F132" s="4"/>
      <c r="G132" s="4"/>
      <c r="H132" s="4"/>
      <c r="I132" s="5"/>
      <c r="J132" s="7" t="str">
        <f aca="false">IF(OR(I132="",C132=""),"",(I132-C132)/C132)</f>
        <v/>
      </c>
      <c r="K132" s="4" t="str">
        <f aca="false">IF(J132="","",IF(J132&gt;0,"涨",IF(J132&lt;0,"跌","平")))</f>
        <v/>
      </c>
      <c r="L132" s="4" t="str">
        <f aca="false">IF(J132="","",IF(ABS(J132)&lt;=0.003,"小",IF(ABS(J132)&lt;=0.01,"中","大")))</f>
        <v/>
      </c>
      <c r="M132" s="4" t="str">
        <f aca="false">IF(OR(D132="",K132=""),"",IF(D132=K132,"√","×"))</f>
        <v/>
      </c>
      <c r="N132" s="4" t="str">
        <f aca="false">IF(OR(E132="",L132=""),"",IF(E132=L132,"√","×"))</f>
        <v/>
      </c>
      <c r="O132" s="4"/>
      <c r="P132" s="4"/>
      <c r="Q132" s="4"/>
    </row>
    <row r="133" customFormat="false" ht="15" hidden="false" customHeight="true" outlineLevel="0" collapsed="false">
      <c r="A133" s="8"/>
      <c r="B133" s="8"/>
      <c r="C133" s="9"/>
      <c r="D133" s="8"/>
      <c r="E133" s="8"/>
      <c r="F133" s="8"/>
      <c r="G133" s="8"/>
      <c r="H133" s="8"/>
      <c r="I133" s="9"/>
      <c r="J133" s="11" t="str">
        <f aca="false">IF(OR(I133="",C133=""),"",(I133-C133)/C133)</f>
        <v/>
      </c>
      <c r="K133" s="8" t="str">
        <f aca="false">IF(J133="","",IF(J133&gt;0,"涨",IF(J133&lt;0,"跌","平")))</f>
        <v/>
      </c>
      <c r="L133" s="8" t="str">
        <f aca="false">IF(J133="","",IF(ABS(J133)&lt;=0.003,"小",IF(ABS(J133)&lt;=0.01,"中","大")))</f>
        <v/>
      </c>
      <c r="M133" s="8" t="str">
        <f aca="false">IF(OR(D133="",K133=""),"",IF(D133=K133,"√","×"))</f>
        <v/>
      </c>
      <c r="N133" s="8" t="str">
        <f aca="false">IF(OR(E133="",L133=""),"",IF(E133=L133,"√","×"))</f>
        <v/>
      </c>
      <c r="O133" s="8"/>
      <c r="P133" s="8"/>
      <c r="Q133" s="8"/>
    </row>
    <row r="134" customFormat="false" ht="15" hidden="false" customHeight="true" outlineLevel="0" collapsed="false">
      <c r="A134" s="4"/>
      <c r="B134" s="4"/>
      <c r="C134" s="5"/>
      <c r="D134" s="4"/>
      <c r="E134" s="4"/>
      <c r="F134" s="4"/>
      <c r="G134" s="4"/>
      <c r="H134" s="4"/>
      <c r="I134" s="5"/>
      <c r="J134" s="7" t="str">
        <f aca="false">IF(OR(I134="",C134=""),"",(I134-C134)/C134)</f>
        <v/>
      </c>
      <c r="K134" s="4" t="str">
        <f aca="false">IF(J134="","",IF(J134&gt;0,"涨",IF(J134&lt;0,"跌","平")))</f>
        <v/>
      </c>
      <c r="L134" s="4" t="str">
        <f aca="false">IF(J134="","",IF(ABS(J134)&lt;=0.003,"小",IF(ABS(J134)&lt;=0.01,"中","大")))</f>
        <v/>
      </c>
      <c r="M134" s="4" t="str">
        <f aca="false">IF(OR(D134="",K134=""),"",IF(D134=K134,"√","×"))</f>
        <v/>
      </c>
      <c r="N134" s="4" t="str">
        <f aca="false">IF(OR(E134="",L134=""),"",IF(E134=L134,"√","×"))</f>
        <v/>
      </c>
      <c r="O134" s="4"/>
      <c r="P134" s="4"/>
      <c r="Q134" s="4"/>
    </row>
    <row r="135" customFormat="false" ht="15" hidden="false" customHeight="true" outlineLevel="0" collapsed="false">
      <c r="A135" s="8"/>
      <c r="B135" s="8"/>
      <c r="C135" s="9"/>
      <c r="D135" s="8"/>
      <c r="E135" s="8"/>
      <c r="F135" s="8"/>
      <c r="G135" s="8"/>
      <c r="H135" s="8"/>
      <c r="I135" s="9"/>
      <c r="J135" s="11" t="str">
        <f aca="false">IF(OR(I135="",C135=""),"",(I135-C135)/C135)</f>
        <v/>
      </c>
      <c r="K135" s="8" t="str">
        <f aca="false">IF(J135="","",IF(J135&gt;0,"涨",IF(J135&lt;0,"跌","平")))</f>
        <v/>
      </c>
      <c r="L135" s="8" t="str">
        <f aca="false">IF(J135="","",IF(ABS(J135)&lt;=0.003,"小",IF(ABS(J135)&lt;=0.01,"中","大")))</f>
        <v/>
      </c>
      <c r="M135" s="8" t="str">
        <f aca="false">IF(OR(D135="",K135=""),"",IF(D135=K135,"√","×"))</f>
        <v/>
      </c>
      <c r="N135" s="8" t="str">
        <f aca="false">IF(OR(E135="",L135=""),"",IF(E135=L135,"√","×"))</f>
        <v/>
      </c>
      <c r="O135" s="8"/>
      <c r="P135" s="8"/>
      <c r="Q135" s="8"/>
    </row>
    <row r="136" customFormat="false" ht="15" hidden="false" customHeight="true" outlineLevel="0" collapsed="false">
      <c r="A136" s="4"/>
      <c r="B136" s="4"/>
      <c r="C136" s="5"/>
      <c r="D136" s="4"/>
      <c r="E136" s="4"/>
      <c r="F136" s="4"/>
      <c r="G136" s="4"/>
      <c r="H136" s="4"/>
      <c r="I136" s="5"/>
      <c r="J136" s="7" t="str">
        <f aca="false">IF(OR(I136="",C136=""),"",(I136-C136)/C136)</f>
        <v/>
      </c>
      <c r="K136" s="4" t="str">
        <f aca="false">IF(J136="","",IF(J136&gt;0,"涨",IF(J136&lt;0,"跌","平")))</f>
        <v/>
      </c>
      <c r="L136" s="4" t="str">
        <f aca="false">IF(J136="","",IF(ABS(J136)&lt;=0.003,"小",IF(ABS(J136)&lt;=0.01,"中","大")))</f>
        <v/>
      </c>
      <c r="M136" s="4" t="str">
        <f aca="false">IF(OR(D136="",K136=""),"",IF(D136=K136,"√","×"))</f>
        <v/>
      </c>
      <c r="N136" s="4" t="str">
        <f aca="false">IF(OR(E136="",L136=""),"",IF(E136=L136,"√","×"))</f>
        <v/>
      </c>
      <c r="O136" s="4"/>
      <c r="P136" s="4"/>
      <c r="Q136" s="4"/>
    </row>
    <row r="137" customFormat="false" ht="15" hidden="false" customHeight="true" outlineLevel="0" collapsed="false">
      <c r="A137" s="8"/>
      <c r="B137" s="8"/>
      <c r="C137" s="9"/>
      <c r="D137" s="8"/>
      <c r="E137" s="8"/>
      <c r="F137" s="8"/>
      <c r="G137" s="8"/>
      <c r="H137" s="8"/>
      <c r="I137" s="9"/>
      <c r="J137" s="11" t="str">
        <f aca="false">IF(OR(I137="",C137=""),"",(I137-C137)/C137)</f>
        <v/>
      </c>
      <c r="K137" s="8" t="str">
        <f aca="false">IF(J137="","",IF(J137&gt;0,"涨",IF(J137&lt;0,"跌","平")))</f>
        <v/>
      </c>
      <c r="L137" s="8" t="str">
        <f aca="false">IF(J137="","",IF(ABS(J137)&lt;=0.003,"小",IF(ABS(J137)&lt;=0.01,"中","大")))</f>
        <v/>
      </c>
      <c r="M137" s="8" t="str">
        <f aca="false">IF(OR(D137="",K137=""),"",IF(D137=K137,"√","×"))</f>
        <v/>
      </c>
      <c r="N137" s="8" t="str">
        <f aca="false">IF(OR(E137="",L137=""),"",IF(E137=L137,"√","×"))</f>
        <v/>
      </c>
      <c r="O137" s="8"/>
      <c r="P137" s="8"/>
      <c r="Q137" s="8"/>
    </row>
    <row r="138" customFormat="false" ht="15" hidden="false" customHeight="true" outlineLevel="0" collapsed="false">
      <c r="A138" s="4"/>
      <c r="B138" s="4"/>
      <c r="C138" s="5"/>
      <c r="D138" s="4"/>
      <c r="E138" s="4"/>
      <c r="F138" s="4"/>
      <c r="G138" s="4"/>
      <c r="H138" s="4"/>
      <c r="I138" s="5"/>
      <c r="J138" s="7" t="str">
        <f aca="false">IF(OR(I138="",C138=""),"",(I138-C138)/C138)</f>
        <v/>
      </c>
      <c r="K138" s="4" t="str">
        <f aca="false">IF(J138="","",IF(J138&gt;0,"涨",IF(J138&lt;0,"跌","平")))</f>
        <v/>
      </c>
      <c r="L138" s="4" t="str">
        <f aca="false">IF(J138="","",IF(ABS(J138)&lt;=0.003,"小",IF(ABS(J138)&lt;=0.01,"中","大")))</f>
        <v/>
      </c>
      <c r="M138" s="4" t="str">
        <f aca="false">IF(OR(D138="",K138=""),"",IF(D138=K138,"√","×"))</f>
        <v/>
      </c>
      <c r="N138" s="4" t="str">
        <f aca="false">IF(OR(E138="",L138=""),"",IF(E138=L138,"√","×"))</f>
        <v/>
      </c>
      <c r="O138" s="4"/>
      <c r="P138" s="4"/>
      <c r="Q138" s="4"/>
    </row>
    <row r="139" customFormat="false" ht="15" hidden="false" customHeight="true" outlineLevel="0" collapsed="false">
      <c r="A139" s="8"/>
      <c r="B139" s="8"/>
      <c r="C139" s="9"/>
      <c r="D139" s="8"/>
      <c r="E139" s="8"/>
      <c r="F139" s="8"/>
      <c r="G139" s="8"/>
      <c r="H139" s="8"/>
      <c r="I139" s="9"/>
      <c r="J139" s="11" t="str">
        <f aca="false">IF(OR(I139="",C139=""),"",(I139-C139)/C139)</f>
        <v/>
      </c>
      <c r="K139" s="8" t="str">
        <f aca="false">IF(J139="","",IF(J139&gt;0,"涨",IF(J139&lt;0,"跌","平")))</f>
        <v/>
      </c>
      <c r="L139" s="8" t="str">
        <f aca="false">IF(J139="","",IF(ABS(J139)&lt;=0.003,"小",IF(ABS(J139)&lt;=0.01,"中","大")))</f>
        <v/>
      </c>
      <c r="M139" s="8" t="str">
        <f aca="false">IF(OR(D139="",K139=""),"",IF(D139=K139,"√","×"))</f>
        <v/>
      </c>
      <c r="N139" s="8" t="str">
        <f aca="false">IF(OR(E139="",L139=""),"",IF(E139=L139,"√","×"))</f>
        <v/>
      </c>
      <c r="O139" s="8"/>
      <c r="P139" s="8"/>
      <c r="Q139" s="8"/>
    </row>
    <row r="140" customFormat="false" ht="15" hidden="false" customHeight="true" outlineLevel="0" collapsed="false">
      <c r="A140" s="4"/>
      <c r="B140" s="4"/>
      <c r="C140" s="5"/>
      <c r="D140" s="4"/>
      <c r="E140" s="4"/>
      <c r="F140" s="4"/>
      <c r="G140" s="4"/>
      <c r="H140" s="4"/>
      <c r="I140" s="5"/>
      <c r="J140" s="7" t="str">
        <f aca="false">IF(OR(I140="",C140=""),"",(I140-C140)/C140)</f>
        <v/>
      </c>
      <c r="K140" s="4" t="str">
        <f aca="false">IF(J140="","",IF(J140&gt;0,"涨",IF(J140&lt;0,"跌","平")))</f>
        <v/>
      </c>
      <c r="L140" s="4" t="str">
        <f aca="false">IF(J140="","",IF(ABS(J140)&lt;=0.003,"小",IF(ABS(J140)&lt;=0.01,"中","大")))</f>
        <v/>
      </c>
      <c r="M140" s="4" t="str">
        <f aca="false">IF(OR(D140="",K140=""),"",IF(D140=K140,"√","×"))</f>
        <v/>
      </c>
      <c r="N140" s="4" t="str">
        <f aca="false">IF(OR(E140="",L140=""),"",IF(E140=L140,"√","×"))</f>
        <v/>
      </c>
      <c r="O140" s="4"/>
      <c r="P140" s="4"/>
      <c r="Q140" s="4"/>
    </row>
    <row r="141" customFormat="false" ht="15" hidden="false" customHeight="true" outlineLevel="0" collapsed="false">
      <c r="A141" s="8"/>
      <c r="B141" s="8"/>
      <c r="C141" s="9"/>
      <c r="D141" s="8"/>
      <c r="E141" s="8"/>
      <c r="F141" s="8"/>
      <c r="G141" s="8"/>
      <c r="H141" s="8"/>
      <c r="I141" s="9"/>
      <c r="J141" s="11" t="str">
        <f aca="false">IF(OR(I141="",C141=""),"",(I141-C141)/C141)</f>
        <v/>
      </c>
      <c r="K141" s="8" t="str">
        <f aca="false">IF(J141="","",IF(J141&gt;0,"涨",IF(J141&lt;0,"跌","平")))</f>
        <v/>
      </c>
      <c r="L141" s="8" t="str">
        <f aca="false">IF(J141="","",IF(ABS(J141)&lt;=0.003,"小",IF(ABS(J141)&lt;=0.01,"中","大")))</f>
        <v/>
      </c>
      <c r="M141" s="8" t="str">
        <f aca="false">IF(OR(D141="",K141=""),"",IF(D141=K141,"√","×"))</f>
        <v/>
      </c>
      <c r="N141" s="8" t="str">
        <f aca="false">IF(OR(E141="",L141=""),"",IF(E141=L141,"√","×"))</f>
        <v/>
      </c>
      <c r="O141" s="8"/>
      <c r="P141" s="8"/>
      <c r="Q141" s="8"/>
    </row>
    <row r="142" customFormat="false" ht="15" hidden="false" customHeight="true" outlineLevel="0" collapsed="false">
      <c r="A142" s="4"/>
      <c r="B142" s="4"/>
      <c r="C142" s="5"/>
      <c r="D142" s="4"/>
      <c r="E142" s="4"/>
      <c r="F142" s="4"/>
      <c r="G142" s="4"/>
      <c r="H142" s="4"/>
      <c r="I142" s="5"/>
      <c r="J142" s="7" t="str">
        <f aca="false">IF(OR(I142="",C142=""),"",(I142-C142)/C142)</f>
        <v/>
      </c>
      <c r="K142" s="4" t="str">
        <f aca="false">IF(J142="","",IF(J142&gt;0,"涨",IF(J142&lt;0,"跌","平")))</f>
        <v/>
      </c>
      <c r="L142" s="4" t="str">
        <f aca="false">IF(J142="","",IF(ABS(J142)&lt;=0.003,"小",IF(ABS(J142)&lt;=0.01,"中","大")))</f>
        <v/>
      </c>
      <c r="M142" s="4" t="str">
        <f aca="false">IF(OR(D142="",K142=""),"",IF(D142=K142,"√","×"))</f>
        <v/>
      </c>
      <c r="N142" s="4" t="str">
        <f aca="false">IF(OR(E142="",L142=""),"",IF(E142=L142,"√","×"))</f>
        <v/>
      </c>
      <c r="O142" s="4"/>
      <c r="P142" s="4"/>
      <c r="Q142" s="4"/>
    </row>
    <row r="143" customFormat="false" ht="15" hidden="false" customHeight="true" outlineLevel="0" collapsed="false">
      <c r="A143" s="8"/>
      <c r="B143" s="8"/>
      <c r="C143" s="9"/>
      <c r="D143" s="8"/>
      <c r="E143" s="8"/>
      <c r="F143" s="8"/>
      <c r="G143" s="8"/>
      <c r="H143" s="8"/>
      <c r="I143" s="9"/>
      <c r="J143" s="11" t="str">
        <f aca="false">IF(OR(I143="",C143=""),"",(I143-C143)/C143)</f>
        <v/>
      </c>
      <c r="K143" s="8" t="str">
        <f aca="false">IF(J143="","",IF(J143&gt;0,"涨",IF(J143&lt;0,"跌","平")))</f>
        <v/>
      </c>
      <c r="L143" s="8" t="str">
        <f aca="false">IF(J143="","",IF(ABS(J143)&lt;=0.003,"小",IF(ABS(J143)&lt;=0.01,"中","大")))</f>
        <v/>
      </c>
      <c r="M143" s="8" t="str">
        <f aca="false">IF(OR(D143="",K143=""),"",IF(D143=K143,"√","×"))</f>
        <v/>
      </c>
      <c r="N143" s="8" t="str">
        <f aca="false">IF(OR(E143="",L143=""),"",IF(E143=L143,"√","×"))</f>
        <v/>
      </c>
      <c r="O143" s="8"/>
      <c r="P143" s="8"/>
      <c r="Q143" s="8"/>
    </row>
    <row r="144" customFormat="false" ht="15" hidden="false" customHeight="true" outlineLevel="0" collapsed="false">
      <c r="A144" s="4"/>
      <c r="B144" s="4"/>
      <c r="C144" s="5"/>
      <c r="D144" s="4"/>
      <c r="E144" s="4"/>
      <c r="F144" s="4"/>
      <c r="G144" s="4"/>
      <c r="H144" s="4"/>
      <c r="I144" s="5"/>
      <c r="J144" s="7" t="str">
        <f aca="false">IF(OR(I144="",C144=""),"",(I144-C144)/C144)</f>
        <v/>
      </c>
      <c r="K144" s="4" t="str">
        <f aca="false">IF(J144="","",IF(J144&gt;0,"涨",IF(J144&lt;0,"跌","平")))</f>
        <v/>
      </c>
      <c r="L144" s="4" t="str">
        <f aca="false">IF(J144="","",IF(ABS(J144)&lt;=0.003,"小",IF(ABS(J144)&lt;=0.01,"中","大")))</f>
        <v/>
      </c>
      <c r="M144" s="4" t="str">
        <f aca="false">IF(OR(D144="",K144=""),"",IF(D144=K144,"√","×"))</f>
        <v/>
      </c>
      <c r="N144" s="4" t="str">
        <f aca="false">IF(OR(E144="",L144=""),"",IF(E144=L144,"√","×"))</f>
        <v/>
      </c>
      <c r="O144" s="4"/>
      <c r="P144" s="4"/>
      <c r="Q144" s="4"/>
    </row>
    <row r="145" customFormat="false" ht="15" hidden="false" customHeight="true" outlineLevel="0" collapsed="false">
      <c r="A145" s="8"/>
      <c r="B145" s="8"/>
      <c r="C145" s="9"/>
      <c r="D145" s="8"/>
      <c r="E145" s="8"/>
      <c r="F145" s="8"/>
      <c r="G145" s="8"/>
      <c r="H145" s="8"/>
      <c r="I145" s="9"/>
      <c r="J145" s="11" t="str">
        <f aca="false">IF(OR(I145="",C145=""),"",(I145-C145)/C145)</f>
        <v/>
      </c>
      <c r="K145" s="8" t="str">
        <f aca="false">IF(J145="","",IF(J145&gt;0,"涨",IF(J145&lt;0,"跌","平")))</f>
        <v/>
      </c>
      <c r="L145" s="8" t="str">
        <f aca="false">IF(J145="","",IF(ABS(J145)&lt;=0.003,"小",IF(ABS(J145)&lt;=0.01,"中","大")))</f>
        <v/>
      </c>
      <c r="M145" s="8" t="str">
        <f aca="false">IF(OR(D145="",K145=""),"",IF(D145=K145,"√","×"))</f>
        <v/>
      </c>
      <c r="N145" s="8" t="str">
        <f aca="false">IF(OR(E145="",L145=""),"",IF(E145=L145,"√","×"))</f>
        <v/>
      </c>
      <c r="O145" s="8"/>
      <c r="P145" s="8"/>
      <c r="Q145" s="8"/>
    </row>
    <row r="146" customFormat="false" ht="15" hidden="false" customHeight="true" outlineLevel="0" collapsed="false">
      <c r="A146" s="4"/>
      <c r="B146" s="4"/>
      <c r="C146" s="5"/>
      <c r="D146" s="4"/>
      <c r="E146" s="4"/>
      <c r="F146" s="4"/>
      <c r="G146" s="4"/>
      <c r="H146" s="4"/>
      <c r="I146" s="5"/>
      <c r="J146" s="7" t="str">
        <f aca="false">IF(OR(I146="",C146=""),"",(I146-C146)/C146)</f>
        <v/>
      </c>
      <c r="K146" s="4" t="str">
        <f aca="false">IF(J146="","",IF(J146&gt;0,"涨",IF(J146&lt;0,"跌","平")))</f>
        <v/>
      </c>
      <c r="L146" s="4" t="str">
        <f aca="false">IF(J146="","",IF(ABS(J146)&lt;=0.003,"小",IF(ABS(J146)&lt;=0.01,"中","大")))</f>
        <v/>
      </c>
      <c r="M146" s="4" t="str">
        <f aca="false">IF(OR(D146="",K146=""),"",IF(D146=K146,"√","×"))</f>
        <v/>
      </c>
      <c r="N146" s="4" t="str">
        <f aca="false">IF(OR(E146="",L146=""),"",IF(E146=L146,"√","×"))</f>
        <v/>
      </c>
      <c r="O146" s="4"/>
      <c r="P146" s="4"/>
      <c r="Q146" s="4"/>
    </row>
    <row r="147" customFormat="false" ht="15" hidden="false" customHeight="true" outlineLevel="0" collapsed="false">
      <c r="A147" s="8"/>
      <c r="B147" s="8"/>
      <c r="C147" s="9"/>
      <c r="D147" s="8"/>
      <c r="E147" s="8"/>
      <c r="F147" s="8"/>
      <c r="G147" s="8"/>
      <c r="H147" s="8"/>
      <c r="I147" s="9"/>
      <c r="J147" s="11" t="str">
        <f aca="false">IF(OR(I147="",C147=""),"",(I147-C147)/C147)</f>
        <v/>
      </c>
      <c r="K147" s="8" t="str">
        <f aca="false">IF(J147="","",IF(J147&gt;0,"涨",IF(J147&lt;0,"跌","平")))</f>
        <v/>
      </c>
      <c r="L147" s="8" t="str">
        <f aca="false">IF(J147="","",IF(ABS(J147)&lt;=0.003,"小",IF(ABS(J147)&lt;=0.01,"中","大")))</f>
        <v/>
      </c>
      <c r="M147" s="8" t="str">
        <f aca="false">IF(OR(D147="",K147=""),"",IF(D147=K147,"√","×"))</f>
        <v/>
      </c>
      <c r="N147" s="8" t="str">
        <f aca="false">IF(OR(E147="",L147=""),"",IF(E147=L147,"√","×"))</f>
        <v/>
      </c>
      <c r="O147" s="8"/>
      <c r="P147" s="8"/>
      <c r="Q147" s="8"/>
    </row>
    <row r="148" customFormat="false" ht="15" hidden="false" customHeight="true" outlineLevel="0" collapsed="false">
      <c r="A148" s="4"/>
      <c r="B148" s="4"/>
      <c r="C148" s="5"/>
      <c r="D148" s="4"/>
      <c r="E148" s="4"/>
      <c r="F148" s="4"/>
      <c r="G148" s="4"/>
      <c r="H148" s="4"/>
      <c r="I148" s="5"/>
      <c r="J148" s="7" t="str">
        <f aca="false">IF(OR(I148="",C148=""),"",(I148-C148)/C148)</f>
        <v/>
      </c>
      <c r="K148" s="4" t="str">
        <f aca="false">IF(J148="","",IF(J148&gt;0,"涨",IF(J148&lt;0,"跌","平")))</f>
        <v/>
      </c>
      <c r="L148" s="4" t="str">
        <f aca="false">IF(J148="","",IF(ABS(J148)&lt;=0.003,"小",IF(ABS(J148)&lt;=0.01,"中","大")))</f>
        <v/>
      </c>
      <c r="M148" s="4" t="str">
        <f aca="false">IF(OR(D148="",K148=""),"",IF(D148=K148,"√","×"))</f>
        <v/>
      </c>
      <c r="N148" s="4" t="str">
        <f aca="false">IF(OR(E148="",L148=""),"",IF(E148=L148,"√","×"))</f>
        <v/>
      </c>
      <c r="O148" s="4"/>
      <c r="P148" s="4"/>
      <c r="Q148" s="4"/>
    </row>
    <row r="149" customFormat="false" ht="15" hidden="false" customHeight="true" outlineLevel="0" collapsed="false">
      <c r="A149" s="8"/>
      <c r="B149" s="8"/>
      <c r="C149" s="9"/>
      <c r="D149" s="8"/>
      <c r="E149" s="8"/>
      <c r="F149" s="8"/>
      <c r="G149" s="8"/>
      <c r="H149" s="8"/>
      <c r="I149" s="9"/>
      <c r="J149" s="11" t="str">
        <f aca="false">IF(OR(I149="",C149=""),"",(I149-C149)/C149)</f>
        <v/>
      </c>
      <c r="K149" s="8" t="str">
        <f aca="false">IF(J149="","",IF(J149&gt;0,"涨",IF(J149&lt;0,"跌","平")))</f>
        <v/>
      </c>
      <c r="L149" s="8" t="str">
        <f aca="false">IF(J149="","",IF(ABS(J149)&lt;=0.003,"小",IF(ABS(J149)&lt;=0.01,"中","大")))</f>
        <v/>
      </c>
      <c r="M149" s="8" t="str">
        <f aca="false">IF(OR(D149="",K149=""),"",IF(D149=K149,"√","×"))</f>
        <v/>
      </c>
      <c r="N149" s="8" t="str">
        <f aca="false">IF(OR(E149="",L149=""),"",IF(E149=L149,"√","×"))</f>
        <v/>
      </c>
      <c r="O149" s="8"/>
      <c r="P149" s="8"/>
      <c r="Q149" s="8"/>
    </row>
    <row r="150" customFormat="false" ht="15" hidden="false" customHeight="true" outlineLevel="0" collapsed="false">
      <c r="A150" s="4"/>
      <c r="B150" s="4"/>
      <c r="C150" s="5"/>
      <c r="D150" s="4"/>
      <c r="E150" s="4"/>
      <c r="F150" s="4"/>
      <c r="G150" s="4"/>
      <c r="H150" s="4"/>
      <c r="I150" s="5"/>
      <c r="J150" s="7" t="str">
        <f aca="false">IF(OR(I150="",C150=""),"",(I150-C150)/C150)</f>
        <v/>
      </c>
      <c r="K150" s="4" t="str">
        <f aca="false">IF(J150="","",IF(J150&gt;0,"涨",IF(J150&lt;0,"跌","平")))</f>
        <v/>
      </c>
      <c r="L150" s="4" t="str">
        <f aca="false">IF(J150="","",IF(ABS(J150)&lt;=0.003,"小",IF(ABS(J150)&lt;=0.01,"中","大")))</f>
        <v/>
      </c>
      <c r="M150" s="4" t="str">
        <f aca="false">IF(OR(D150="",K150=""),"",IF(D150=K150,"√","×"))</f>
        <v/>
      </c>
      <c r="N150" s="4" t="str">
        <f aca="false">IF(OR(E150="",L150=""),"",IF(E150=L150,"√","×"))</f>
        <v/>
      </c>
      <c r="O150" s="4"/>
      <c r="P150" s="4"/>
      <c r="Q150" s="4"/>
    </row>
    <row r="151" customFormat="false" ht="15" hidden="false" customHeight="true" outlineLevel="0" collapsed="false">
      <c r="A151" s="8"/>
      <c r="B151" s="8"/>
      <c r="C151" s="9"/>
      <c r="D151" s="8"/>
      <c r="E151" s="8"/>
      <c r="F151" s="8"/>
      <c r="G151" s="8"/>
      <c r="H151" s="8"/>
      <c r="I151" s="9"/>
      <c r="J151" s="11" t="str">
        <f aca="false">IF(OR(I151="",C151=""),"",(I151-C151)/C151)</f>
        <v/>
      </c>
      <c r="K151" s="8" t="str">
        <f aca="false">IF(J151="","",IF(J151&gt;0,"涨",IF(J151&lt;0,"跌","平")))</f>
        <v/>
      </c>
      <c r="L151" s="8" t="str">
        <f aca="false">IF(J151="","",IF(ABS(J151)&lt;=0.003,"小",IF(ABS(J151)&lt;=0.01,"中","大")))</f>
        <v/>
      </c>
      <c r="M151" s="8" t="str">
        <f aca="false">IF(OR(D151="",K151=""),"",IF(D151=K151,"√","×"))</f>
        <v/>
      </c>
      <c r="N151" s="8" t="str">
        <f aca="false">IF(OR(E151="",L151=""),"",IF(E151=L151,"√","×"))</f>
        <v/>
      </c>
      <c r="O151" s="8"/>
      <c r="P151" s="8"/>
      <c r="Q151" s="8"/>
    </row>
    <row r="152" customFormat="false" ht="15" hidden="false" customHeight="true" outlineLevel="0" collapsed="false">
      <c r="A152" s="4"/>
      <c r="B152" s="4"/>
      <c r="C152" s="5"/>
      <c r="D152" s="4"/>
      <c r="E152" s="4"/>
      <c r="F152" s="4"/>
      <c r="G152" s="4"/>
      <c r="H152" s="4"/>
      <c r="I152" s="5"/>
      <c r="J152" s="7" t="str">
        <f aca="false">IF(OR(I152="",C152=""),"",(I152-C152)/C152)</f>
        <v/>
      </c>
      <c r="K152" s="4" t="str">
        <f aca="false">IF(J152="","",IF(J152&gt;0,"涨",IF(J152&lt;0,"跌","平")))</f>
        <v/>
      </c>
      <c r="L152" s="4" t="str">
        <f aca="false">IF(J152="","",IF(ABS(J152)&lt;=0.003,"小",IF(ABS(J152)&lt;=0.01,"中","大")))</f>
        <v/>
      </c>
      <c r="M152" s="4" t="str">
        <f aca="false">IF(OR(D152="",K152=""),"",IF(D152=K152,"√","×"))</f>
        <v/>
      </c>
      <c r="N152" s="4" t="str">
        <f aca="false">IF(OR(E152="",L152=""),"",IF(E152=L152,"√","×"))</f>
        <v/>
      </c>
      <c r="O152" s="4"/>
      <c r="P152" s="4"/>
      <c r="Q152" s="4"/>
    </row>
    <row r="153" customFormat="false" ht="15" hidden="false" customHeight="true" outlineLevel="0" collapsed="false">
      <c r="A153" s="8"/>
      <c r="B153" s="8"/>
      <c r="C153" s="9"/>
      <c r="D153" s="8"/>
      <c r="E153" s="8"/>
      <c r="F153" s="8"/>
      <c r="G153" s="8"/>
      <c r="H153" s="8"/>
      <c r="I153" s="9"/>
      <c r="J153" s="11" t="str">
        <f aca="false">IF(OR(I153="",C153=""),"",(I153-C153)/C153)</f>
        <v/>
      </c>
      <c r="K153" s="8" t="str">
        <f aca="false">IF(J153="","",IF(J153&gt;0,"涨",IF(J153&lt;0,"跌","平")))</f>
        <v/>
      </c>
      <c r="L153" s="8" t="str">
        <f aca="false">IF(J153="","",IF(ABS(J153)&lt;=0.003,"小",IF(ABS(J153)&lt;=0.01,"中","大")))</f>
        <v/>
      </c>
      <c r="M153" s="8" t="str">
        <f aca="false">IF(OR(D153="",K153=""),"",IF(D153=K153,"√","×"))</f>
        <v/>
      </c>
      <c r="N153" s="8" t="str">
        <f aca="false">IF(OR(E153="",L153=""),"",IF(E153=L153,"√","×"))</f>
        <v/>
      </c>
      <c r="O153" s="8"/>
      <c r="P153" s="8"/>
      <c r="Q153" s="8"/>
    </row>
    <row r="154" customFormat="false" ht="15" hidden="false" customHeight="true" outlineLevel="0" collapsed="false">
      <c r="A154" s="4"/>
      <c r="B154" s="4"/>
      <c r="C154" s="5"/>
      <c r="D154" s="4"/>
      <c r="E154" s="4"/>
      <c r="F154" s="4"/>
      <c r="G154" s="4"/>
      <c r="H154" s="4"/>
      <c r="I154" s="5"/>
      <c r="J154" s="7" t="str">
        <f aca="false">IF(OR(I154="",C154=""),"",(I154-C154)/C154)</f>
        <v/>
      </c>
      <c r="K154" s="4" t="str">
        <f aca="false">IF(J154="","",IF(J154&gt;0,"涨",IF(J154&lt;0,"跌","平")))</f>
        <v/>
      </c>
      <c r="L154" s="4" t="str">
        <f aca="false">IF(J154="","",IF(ABS(J154)&lt;=0.003,"小",IF(ABS(J154)&lt;=0.01,"中","大")))</f>
        <v/>
      </c>
      <c r="M154" s="4" t="str">
        <f aca="false">IF(OR(D154="",K154=""),"",IF(D154=K154,"√","×"))</f>
        <v/>
      </c>
      <c r="N154" s="4" t="str">
        <f aca="false">IF(OR(E154="",L154=""),"",IF(E154=L154,"√","×"))</f>
        <v/>
      </c>
      <c r="O154" s="4"/>
      <c r="P154" s="4"/>
      <c r="Q154" s="4"/>
    </row>
    <row r="155" customFormat="false" ht="15" hidden="false" customHeight="true" outlineLevel="0" collapsed="false">
      <c r="A155" s="8"/>
      <c r="B155" s="8"/>
      <c r="C155" s="9"/>
      <c r="D155" s="8"/>
      <c r="E155" s="8"/>
      <c r="F155" s="8"/>
      <c r="G155" s="8"/>
      <c r="H155" s="8"/>
      <c r="I155" s="9"/>
      <c r="J155" s="11" t="str">
        <f aca="false">IF(OR(I155="",C155=""),"",(I155-C155)/C155)</f>
        <v/>
      </c>
      <c r="K155" s="8" t="str">
        <f aca="false">IF(J155="","",IF(J155&gt;0,"涨",IF(J155&lt;0,"跌","平")))</f>
        <v/>
      </c>
      <c r="L155" s="8" t="str">
        <f aca="false">IF(J155="","",IF(ABS(J155)&lt;=0.003,"小",IF(ABS(J155)&lt;=0.01,"中","大")))</f>
        <v/>
      </c>
      <c r="M155" s="8" t="str">
        <f aca="false">IF(OR(D155="",K155=""),"",IF(D155=K155,"√","×"))</f>
        <v/>
      </c>
      <c r="N155" s="8" t="str">
        <f aca="false">IF(OR(E155="",L155=""),"",IF(E155=L155,"√","×"))</f>
        <v/>
      </c>
      <c r="O155" s="8"/>
      <c r="P155" s="8"/>
      <c r="Q155" s="8"/>
    </row>
    <row r="156" customFormat="false" ht="15" hidden="false" customHeight="true" outlineLevel="0" collapsed="false">
      <c r="A156" s="4"/>
      <c r="B156" s="4"/>
      <c r="C156" s="5"/>
      <c r="D156" s="4"/>
      <c r="E156" s="4"/>
      <c r="F156" s="4"/>
      <c r="G156" s="4"/>
      <c r="H156" s="4"/>
      <c r="I156" s="5"/>
      <c r="J156" s="7" t="str">
        <f aca="false">IF(OR(I156="",C156=""),"",(I156-C156)/C156)</f>
        <v/>
      </c>
      <c r="K156" s="4" t="str">
        <f aca="false">IF(J156="","",IF(J156&gt;0,"涨",IF(J156&lt;0,"跌","平")))</f>
        <v/>
      </c>
      <c r="L156" s="4" t="str">
        <f aca="false">IF(J156="","",IF(ABS(J156)&lt;=0.003,"小",IF(ABS(J156)&lt;=0.01,"中","大")))</f>
        <v/>
      </c>
      <c r="M156" s="4" t="str">
        <f aca="false">IF(OR(D156="",K156=""),"",IF(D156=K156,"√","×"))</f>
        <v/>
      </c>
      <c r="N156" s="4" t="str">
        <f aca="false">IF(OR(E156="",L156=""),"",IF(E156=L156,"√","×"))</f>
        <v/>
      </c>
      <c r="O156" s="4"/>
      <c r="P156" s="4"/>
      <c r="Q156" s="4"/>
    </row>
    <row r="157" customFormat="false" ht="15" hidden="false" customHeight="true" outlineLevel="0" collapsed="false">
      <c r="A157" s="8"/>
      <c r="B157" s="8"/>
      <c r="C157" s="9"/>
      <c r="D157" s="8"/>
      <c r="E157" s="8"/>
      <c r="F157" s="8"/>
      <c r="G157" s="8"/>
      <c r="H157" s="8"/>
      <c r="I157" s="9"/>
      <c r="J157" s="11" t="str">
        <f aca="false">IF(OR(I157="",C157=""),"",(I157-C157)/C157)</f>
        <v/>
      </c>
      <c r="K157" s="8" t="str">
        <f aca="false">IF(J157="","",IF(J157&gt;0,"涨",IF(J157&lt;0,"跌","平")))</f>
        <v/>
      </c>
      <c r="L157" s="8" t="str">
        <f aca="false">IF(J157="","",IF(ABS(J157)&lt;=0.003,"小",IF(ABS(J157)&lt;=0.01,"中","大")))</f>
        <v/>
      </c>
      <c r="M157" s="8" t="str">
        <f aca="false">IF(OR(D157="",K157=""),"",IF(D157=K157,"√","×"))</f>
        <v/>
      </c>
      <c r="N157" s="8" t="str">
        <f aca="false">IF(OR(E157="",L157=""),"",IF(E157=L157,"√","×"))</f>
        <v/>
      </c>
      <c r="O157" s="8"/>
      <c r="P157" s="8"/>
      <c r="Q157" s="8"/>
    </row>
    <row r="158" customFormat="false" ht="15" hidden="false" customHeight="true" outlineLevel="0" collapsed="false">
      <c r="A158" s="4"/>
      <c r="B158" s="4"/>
      <c r="C158" s="5"/>
      <c r="D158" s="4"/>
      <c r="E158" s="4"/>
      <c r="F158" s="4"/>
      <c r="G158" s="4"/>
      <c r="H158" s="4"/>
      <c r="I158" s="5"/>
      <c r="J158" s="7" t="str">
        <f aca="false">IF(OR(I158="",C158=""),"",(I158-C158)/C158)</f>
        <v/>
      </c>
      <c r="K158" s="4" t="str">
        <f aca="false">IF(J158="","",IF(J158&gt;0,"涨",IF(J158&lt;0,"跌","平")))</f>
        <v/>
      </c>
      <c r="L158" s="4" t="str">
        <f aca="false">IF(J158="","",IF(ABS(J158)&lt;=0.003,"小",IF(ABS(J158)&lt;=0.01,"中","大")))</f>
        <v/>
      </c>
      <c r="M158" s="4" t="str">
        <f aca="false">IF(OR(D158="",K158=""),"",IF(D158=K158,"√","×"))</f>
        <v/>
      </c>
      <c r="N158" s="4" t="str">
        <f aca="false">IF(OR(E158="",L158=""),"",IF(E158=L158,"√","×"))</f>
        <v/>
      </c>
      <c r="O158" s="4"/>
      <c r="P158" s="4"/>
      <c r="Q158" s="4"/>
    </row>
    <row r="159" customFormat="false" ht="15" hidden="false" customHeight="true" outlineLevel="0" collapsed="false">
      <c r="A159" s="8"/>
      <c r="B159" s="8"/>
      <c r="C159" s="9"/>
      <c r="D159" s="8"/>
      <c r="E159" s="8"/>
      <c r="F159" s="8"/>
      <c r="G159" s="8"/>
      <c r="H159" s="8"/>
      <c r="I159" s="9"/>
      <c r="J159" s="11" t="str">
        <f aca="false">IF(OR(I159="",C159=""),"",(I159-C159)/C159)</f>
        <v/>
      </c>
      <c r="K159" s="8" t="str">
        <f aca="false">IF(J159="","",IF(J159&gt;0,"涨",IF(J159&lt;0,"跌","平")))</f>
        <v/>
      </c>
      <c r="L159" s="8" t="str">
        <f aca="false">IF(J159="","",IF(ABS(J159)&lt;=0.003,"小",IF(ABS(J159)&lt;=0.01,"中","大")))</f>
        <v/>
      </c>
      <c r="M159" s="8" t="str">
        <f aca="false">IF(OR(D159="",K159=""),"",IF(D159=K159,"√","×"))</f>
        <v/>
      </c>
      <c r="N159" s="8" t="str">
        <f aca="false">IF(OR(E159="",L159=""),"",IF(E159=L159,"√","×"))</f>
        <v/>
      </c>
      <c r="O159" s="8"/>
      <c r="P159" s="8"/>
      <c r="Q159" s="8"/>
    </row>
    <row r="160" customFormat="false" ht="15" hidden="false" customHeight="true" outlineLevel="0" collapsed="false">
      <c r="A160" s="4"/>
      <c r="B160" s="4"/>
      <c r="C160" s="5"/>
      <c r="D160" s="4"/>
      <c r="E160" s="4"/>
      <c r="F160" s="4"/>
      <c r="G160" s="4"/>
      <c r="H160" s="4"/>
      <c r="I160" s="5"/>
      <c r="J160" s="7" t="str">
        <f aca="false">IF(OR(I160="",C160=""),"",(I160-C160)/C160)</f>
        <v/>
      </c>
      <c r="K160" s="4" t="str">
        <f aca="false">IF(J160="","",IF(J160&gt;0,"涨",IF(J160&lt;0,"跌","平")))</f>
        <v/>
      </c>
      <c r="L160" s="4" t="str">
        <f aca="false">IF(J160="","",IF(ABS(J160)&lt;=0.003,"小",IF(ABS(J160)&lt;=0.01,"中","大")))</f>
        <v/>
      </c>
      <c r="M160" s="4" t="str">
        <f aca="false">IF(OR(D160="",K160=""),"",IF(D160=K160,"√","×"))</f>
        <v/>
      </c>
      <c r="N160" s="4" t="str">
        <f aca="false">IF(OR(E160="",L160=""),"",IF(E160=L160,"√","×"))</f>
        <v/>
      </c>
      <c r="O160" s="4"/>
      <c r="P160" s="4"/>
      <c r="Q160" s="4"/>
    </row>
    <row r="161" customFormat="false" ht="15" hidden="false" customHeight="true" outlineLevel="0" collapsed="false">
      <c r="A161" s="8"/>
      <c r="B161" s="8"/>
      <c r="C161" s="9"/>
      <c r="D161" s="8"/>
      <c r="E161" s="8"/>
      <c r="F161" s="8"/>
      <c r="G161" s="8"/>
      <c r="H161" s="8"/>
      <c r="I161" s="9"/>
      <c r="J161" s="11" t="str">
        <f aca="false">IF(OR(I161="",C161=""),"",(I161-C161)/C161)</f>
        <v/>
      </c>
      <c r="K161" s="8" t="str">
        <f aca="false">IF(J161="","",IF(J161&gt;0,"涨",IF(J161&lt;0,"跌","平")))</f>
        <v/>
      </c>
      <c r="L161" s="8" t="str">
        <f aca="false">IF(J161="","",IF(ABS(J161)&lt;=0.003,"小",IF(ABS(J161)&lt;=0.01,"中","大")))</f>
        <v/>
      </c>
      <c r="M161" s="8" t="str">
        <f aca="false">IF(OR(D161="",K161=""),"",IF(D161=K161,"√","×"))</f>
        <v/>
      </c>
      <c r="N161" s="8" t="str">
        <f aca="false">IF(OR(E161="",L161=""),"",IF(E161=L161,"√","×"))</f>
        <v/>
      </c>
      <c r="O161" s="8"/>
      <c r="P161" s="8"/>
      <c r="Q161" s="8"/>
    </row>
    <row r="162" customFormat="false" ht="15" hidden="false" customHeight="true" outlineLevel="0" collapsed="false">
      <c r="A162" s="4"/>
      <c r="B162" s="4"/>
      <c r="C162" s="5"/>
      <c r="D162" s="4"/>
      <c r="E162" s="4"/>
      <c r="F162" s="4"/>
      <c r="G162" s="4"/>
      <c r="H162" s="4"/>
      <c r="I162" s="5"/>
      <c r="J162" s="7" t="str">
        <f aca="false">IF(OR(I162="",C162=""),"",(I162-C162)/C162)</f>
        <v/>
      </c>
      <c r="K162" s="4" t="str">
        <f aca="false">IF(J162="","",IF(J162&gt;0,"涨",IF(J162&lt;0,"跌","平")))</f>
        <v/>
      </c>
      <c r="L162" s="4" t="str">
        <f aca="false">IF(J162="","",IF(ABS(J162)&lt;=0.003,"小",IF(ABS(J162)&lt;=0.01,"中","大")))</f>
        <v/>
      </c>
      <c r="M162" s="4" t="str">
        <f aca="false">IF(OR(D162="",K162=""),"",IF(D162=K162,"√","×"))</f>
        <v/>
      </c>
      <c r="N162" s="4" t="str">
        <f aca="false">IF(OR(E162="",L162=""),"",IF(E162=L162,"√","×"))</f>
        <v/>
      </c>
      <c r="O162" s="4"/>
      <c r="P162" s="4"/>
      <c r="Q162" s="4"/>
    </row>
    <row r="163" customFormat="false" ht="15" hidden="false" customHeight="true" outlineLevel="0" collapsed="false">
      <c r="A163" s="8"/>
      <c r="B163" s="8"/>
      <c r="C163" s="9"/>
      <c r="D163" s="8"/>
      <c r="E163" s="8"/>
      <c r="F163" s="8"/>
      <c r="G163" s="8"/>
      <c r="H163" s="8"/>
      <c r="I163" s="9"/>
      <c r="J163" s="11" t="str">
        <f aca="false">IF(OR(I163="",C163=""),"",(I163-C163)/C163)</f>
        <v/>
      </c>
      <c r="K163" s="8" t="str">
        <f aca="false">IF(J163="","",IF(J163&gt;0,"涨",IF(J163&lt;0,"跌","平")))</f>
        <v/>
      </c>
      <c r="L163" s="8" t="str">
        <f aca="false">IF(J163="","",IF(ABS(J163)&lt;=0.003,"小",IF(ABS(J163)&lt;=0.01,"中","大")))</f>
        <v/>
      </c>
      <c r="M163" s="8" t="str">
        <f aca="false">IF(OR(D163="",K163=""),"",IF(D163=K163,"√","×"))</f>
        <v/>
      </c>
      <c r="N163" s="8" t="str">
        <f aca="false">IF(OR(E163="",L163=""),"",IF(E163=L163,"√","×"))</f>
        <v/>
      </c>
      <c r="O163" s="8"/>
      <c r="P163" s="8"/>
      <c r="Q163" s="8"/>
    </row>
    <row r="164" customFormat="false" ht="15" hidden="false" customHeight="true" outlineLevel="0" collapsed="false">
      <c r="A164" s="4"/>
      <c r="B164" s="4"/>
      <c r="C164" s="5"/>
      <c r="D164" s="4"/>
      <c r="E164" s="4"/>
      <c r="F164" s="4"/>
      <c r="G164" s="4"/>
      <c r="H164" s="4"/>
      <c r="I164" s="5"/>
      <c r="J164" s="7" t="str">
        <f aca="false">IF(OR(I164="",C164=""),"",(I164-C164)/C164)</f>
        <v/>
      </c>
      <c r="K164" s="4" t="str">
        <f aca="false">IF(J164="","",IF(J164&gt;0,"涨",IF(J164&lt;0,"跌","平")))</f>
        <v/>
      </c>
      <c r="L164" s="4" t="str">
        <f aca="false">IF(J164="","",IF(ABS(J164)&lt;=0.003,"小",IF(ABS(J164)&lt;=0.01,"中","大")))</f>
        <v/>
      </c>
      <c r="M164" s="4" t="str">
        <f aca="false">IF(OR(D164="",K164=""),"",IF(D164=K164,"√","×"))</f>
        <v/>
      </c>
      <c r="N164" s="4" t="str">
        <f aca="false">IF(OR(E164="",L164=""),"",IF(E164=L164,"√","×"))</f>
        <v/>
      </c>
      <c r="O164" s="4"/>
      <c r="P164" s="4"/>
      <c r="Q164" s="4"/>
    </row>
    <row r="165" customFormat="false" ht="15" hidden="false" customHeight="true" outlineLevel="0" collapsed="false">
      <c r="A165" s="8"/>
      <c r="B165" s="8"/>
      <c r="C165" s="9"/>
      <c r="D165" s="8"/>
      <c r="E165" s="8"/>
      <c r="F165" s="8"/>
      <c r="G165" s="8"/>
      <c r="H165" s="8"/>
      <c r="I165" s="9"/>
      <c r="J165" s="11" t="str">
        <f aca="false">IF(OR(I165="",C165=""),"",(I165-C165)/C165)</f>
        <v/>
      </c>
      <c r="K165" s="8" t="str">
        <f aca="false">IF(J165="","",IF(J165&gt;0,"涨",IF(J165&lt;0,"跌","平")))</f>
        <v/>
      </c>
      <c r="L165" s="8" t="str">
        <f aca="false">IF(J165="","",IF(ABS(J165)&lt;=0.003,"小",IF(ABS(J165)&lt;=0.01,"中","大")))</f>
        <v/>
      </c>
      <c r="M165" s="8" t="str">
        <f aca="false">IF(OR(D165="",K165=""),"",IF(D165=K165,"√","×"))</f>
        <v/>
      </c>
      <c r="N165" s="8" t="str">
        <f aca="false">IF(OR(E165="",L165=""),"",IF(E165=L165,"√","×"))</f>
        <v/>
      </c>
      <c r="O165" s="8"/>
      <c r="P165" s="8"/>
      <c r="Q165" s="8"/>
    </row>
    <row r="166" customFormat="false" ht="15" hidden="false" customHeight="true" outlineLevel="0" collapsed="false">
      <c r="A166" s="4"/>
      <c r="B166" s="4"/>
      <c r="C166" s="5"/>
      <c r="D166" s="4"/>
      <c r="E166" s="4"/>
      <c r="F166" s="4"/>
      <c r="G166" s="4"/>
      <c r="H166" s="4"/>
      <c r="I166" s="5"/>
      <c r="J166" s="7" t="str">
        <f aca="false">IF(OR(I166="",C166=""),"",(I166-C166)/C166)</f>
        <v/>
      </c>
      <c r="K166" s="4" t="str">
        <f aca="false">IF(J166="","",IF(J166&gt;0,"涨",IF(J166&lt;0,"跌","平")))</f>
        <v/>
      </c>
      <c r="L166" s="4" t="str">
        <f aca="false">IF(J166="","",IF(ABS(J166)&lt;=0.003,"小",IF(ABS(J166)&lt;=0.01,"中","大")))</f>
        <v/>
      </c>
      <c r="M166" s="4" t="str">
        <f aca="false">IF(OR(D166="",K166=""),"",IF(D166=K166,"√","×"))</f>
        <v/>
      </c>
      <c r="N166" s="4" t="str">
        <f aca="false">IF(OR(E166="",L166=""),"",IF(E166=L166,"√","×"))</f>
        <v/>
      </c>
      <c r="O166" s="4"/>
      <c r="P166" s="4"/>
      <c r="Q166" s="4"/>
    </row>
    <row r="167" customFormat="false" ht="15" hidden="false" customHeight="true" outlineLevel="0" collapsed="false">
      <c r="A167" s="8"/>
      <c r="B167" s="8"/>
      <c r="C167" s="9"/>
      <c r="D167" s="8"/>
      <c r="E167" s="8"/>
      <c r="F167" s="8"/>
      <c r="G167" s="8"/>
      <c r="H167" s="8"/>
      <c r="I167" s="9"/>
      <c r="J167" s="11" t="str">
        <f aca="false">IF(OR(I167="",C167=""),"",(I167-C167)/C167)</f>
        <v/>
      </c>
      <c r="K167" s="8" t="str">
        <f aca="false">IF(J167="","",IF(J167&gt;0,"涨",IF(J167&lt;0,"跌","平")))</f>
        <v/>
      </c>
      <c r="L167" s="8" t="str">
        <f aca="false">IF(J167="","",IF(ABS(J167)&lt;=0.003,"小",IF(ABS(J167)&lt;=0.01,"中","大")))</f>
        <v/>
      </c>
      <c r="M167" s="8" t="str">
        <f aca="false">IF(OR(D167="",K167=""),"",IF(D167=K167,"√","×"))</f>
        <v/>
      </c>
      <c r="N167" s="8" t="str">
        <f aca="false">IF(OR(E167="",L167=""),"",IF(E167=L167,"√","×"))</f>
        <v/>
      </c>
      <c r="O167" s="8"/>
      <c r="P167" s="8"/>
      <c r="Q167" s="8"/>
    </row>
    <row r="168" customFormat="false" ht="15" hidden="false" customHeight="true" outlineLevel="0" collapsed="false">
      <c r="A168" s="4"/>
      <c r="B168" s="4"/>
      <c r="C168" s="5"/>
      <c r="D168" s="4"/>
      <c r="E168" s="4"/>
      <c r="F168" s="4"/>
      <c r="G168" s="4"/>
      <c r="H168" s="4"/>
      <c r="I168" s="5"/>
      <c r="J168" s="7" t="str">
        <f aca="false">IF(OR(I168="",C168=""),"",(I168-C168)/C168)</f>
        <v/>
      </c>
      <c r="K168" s="4" t="str">
        <f aca="false">IF(J168="","",IF(J168&gt;0,"涨",IF(J168&lt;0,"跌","平")))</f>
        <v/>
      </c>
      <c r="L168" s="4" t="str">
        <f aca="false">IF(J168="","",IF(ABS(J168)&lt;=0.003,"小",IF(ABS(J168)&lt;=0.01,"中","大")))</f>
        <v/>
      </c>
      <c r="M168" s="4" t="str">
        <f aca="false">IF(OR(D168="",K168=""),"",IF(D168=K168,"√","×"))</f>
        <v/>
      </c>
      <c r="N168" s="4" t="str">
        <f aca="false">IF(OR(E168="",L168=""),"",IF(E168=L168,"√","×"))</f>
        <v/>
      </c>
      <c r="O168" s="4"/>
      <c r="P168" s="4"/>
      <c r="Q168" s="4"/>
    </row>
    <row r="169" customFormat="false" ht="15" hidden="false" customHeight="true" outlineLevel="0" collapsed="false">
      <c r="A169" s="8"/>
      <c r="B169" s="8"/>
      <c r="C169" s="9"/>
      <c r="D169" s="8"/>
      <c r="E169" s="8"/>
      <c r="F169" s="8"/>
      <c r="G169" s="8"/>
      <c r="H169" s="8"/>
      <c r="I169" s="9"/>
      <c r="J169" s="11" t="str">
        <f aca="false">IF(OR(I169="",C169=""),"",(I169-C169)/C169)</f>
        <v/>
      </c>
      <c r="K169" s="8" t="str">
        <f aca="false">IF(J169="","",IF(J169&gt;0,"涨",IF(J169&lt;0,"跌","平")))</f>
        <v/>
      </c>
      <c r="L169" s="8" t="str">
        <f aca="false">IF(J169="","",IF(ABS(J169)&lt;=0.003,"小",IF(ABS(J169)&lt;=0.01,"中","大")))</f>
        <v/>
      </c>
      <c r="M169" s="8" t="str">
        <f aca="false">IF(OR(D169="",K169=""),"",IF(D169=K169,"√","×"))</f>
        <v/>
      </c>
      <c r="N169" s="8" t="str">
        <f aca="false">IF(OR(E169="",L169=""),"",IF(E169=L169,"√","×"))</f>
        <v/>
      </c>
      <c r="O169" s="8"/>
      <c r="P169" s="8"/>
      <c r="Q169" s="8"/>
    </row>
    <row r="170" customFormat="false" ht="15" hidden="false" customHeight="true" outlineLevel="0" collapsed="false">
      <c r="A170" s="4"/>
      <c r="B170" s="4"/>
      <c r="C170" s="5"/>
      <c r="D170" s="4"/>
      <c r="E170" s="4"/>
      <c r="F170" s="4"/>
      <c r="G170" s="4"/>
      <c r="H170" s="4"/>
      <c r="I170" s="5"/>
      <c r="J170" s="7" t="str">
        <f aca="false">IF(OR(I170="",C170=""),"",(I170-C170)/C170)</f>
        <v/>
      </c>
      <c r="K170" s="4" t="str">
        <f aca="false">IF(J170="","",IF(J170&gt;0,"涨",IF(J170&lt;0,"跌","平")))</f>
        <v/>
      </c>
      <c r="L170" s="4" t="str">
        <f aca="false">IF(J170="","",IF(ABS(J170)&lt;=0.003,"小",IF(ABS(J170)&lt;=0.01,"中","大")))</f>
        <v/>
      </c>
      <c r="M170" s="4" t="str">
        <f aca="false">IF(OR(D170="",K170=""),"",IF(D170=K170,"√","×"))</f>
        <v/>
      </c>
      <c r="N170" s="4" t="str">
        <f aca="false">IF(OR(E170="",L170=""),"",IF(E170=L170,"√","×"))</f>
        <v/>
      </c>
      <c r="O170" s="4"/>
      <c r="P170" s="4"/>
      <c r="Q170" s="4"/>
    </row>
    <row r="171" customFormat="false" ht="15" hidden="false" customHeight="true" outlineLevel="0" collapsed="false">
      <c r="A171" s="8"/>
      <c r="B171" s="8"/>
      <c r="C171" s="9"/>
      <c r="D171" s="8"/>
      <c r="E171" s="8"/>
      <c r="F171" s="8"/>
      <c r="G171" s="8"/>
      <c r="H171" s="8"/>
      <c r="I171" s="9"/>
      <c r="J171" s="11" t="str">
        <f aca="false">IF(OR(I171="",C171=""),"",(I171-C171)/C171)</f>
        <v/>
      </c>
      <c r="K171" s="8" t="str">
        <f aca="false">IF(J171="","",IF(J171&gt;0,"涨",IF(J171&lt;0,"跌","平")))</f>
        <v/>
      </c>
      <c r="L171" s="8" t="str">
        <f aca="false">IF(J171="","",IF(ABS(J171)&lt;=0.003,"小",IF(ABS(J171)&lt;=0.01,"中","大")))</f>
        <v/>
      </c>
      <c r="M171" s="8" t="str">
        <f aca="false">IF(OR(D171="",K171=""),"",IF(D171=K171,"√","×"))</f>
        <v/>
      </c>
      <c r="N171" s="8" t="str">
        <f aca="false">IF(OR(E171="",L171=""),"",IF(E171=L171,"√","×"))</f>
        <v/>
      </c>
      <c r="O171" s="8"/>
      <c r="P171" s="8"/>
      <c r="Q171" s="8"/>
    </row>
    <row r="172" customFormat="false" ht="15" hidden="false" customHeight="true" outlineLevel="0" collapsed="false">
      <c r="A172" s="4"/>
      <c r="B172" s="4"/>
      <c r="C172" s="5"/>
      <c r="D172" s="4"/>
      <c r="E172" s="4"/>
      <c r="F172" s="4"/>
      <c r="G172" s="4"/>
      <c r="H172" s="4"/>
      <c r="I172" s="5"/>
      <c r="J172" s="7" t="str">
        <f aca="false">IF(OR(I172="",C172=""),"",(I172-C172)/C172)</f>
        <v/>
      </c>
      <c r="K172" s="4" t="str">
        <f aca="false">IF(J172="","",IF(J172&gt;0,"涨",IF(J172&lt;0,"跌","平")))</f>
        <v/>
      </c>
      <c r="L172" s="4" t="str">
        <f aca="false">IF(J172="","",IF(ABS(J172)&lt;=0.003,"小",IF(ABS(J172)&lt;=0.01,"中","大")))</f>
        <v/>
      </c>
      <c r="M172" s="4" t="str">
        <f aca="false">IF(OR(D172="",K172=""),"",IF(D172=K172,"√","×"))</f>
        <v/>
      </c>
      <c r="N172" s="4" t="str">
        <f aca="false">IF(OR(E172="",L172=""),"",IF(E172=L172,"√","×"))</f>
        <v/>
      </c>
      <c r="O172" s="4"/>
      <c r="P172" s="4"/>
      <c r="Q172" s="4"/>
    </row>
    <row r="173" customFormat="false" ht="15" hidden="false" customHeight="true" outlineLevel="0" collapsed="false">
      <c r="A173" s="8"/>
      <c r="B173" s="8"/>
      <c r="C173" s="9"/>
      <c r="D173" s="8"/>
      <c r="E173" s="8"/>
      <c r="F173" s="8"/>
      <c r="G173" s="8"/>
      <c r="H173" s="8"/>
      <c r="I173" s="9"/>
      <c r="J173" s="11" t="str">
        <f aca="false">IF(OR(I173="",C173=""),"",(I173-C173)/C173)</f>
        <v/>
      </c>
      <c r="K173" s="8" t="str">
        <f aca="false">IF(J173="","",IF(J173&gt;0,"涨",IF(J173&lt;0,"跌","平")))</f>
        <v/>
      </c>
      <c r="L173" s="8" t="str">
        <f aca="false">IF(J173="","",IF(ABS(J173)&lt;=0.003,"小",IF(ABS(J173)&lt;=0.01,"中","大")))</f>
        <v/>
      </c>
      <c r="M173" s="8" t="str">
        <f aca="false">IF(OR(D173="",K173=""),"",IF(D173=K173,"√","×"))</f>
        <v/>
      </c>
      <c r="N173" s="8" t="str">
        <f aca="false">IF(OR(E173="",L173=""),"",IF(E173=L173,"√","×"))</f>
        <v/>
      </c>
      <c r="O173" s="8"/>
      <c r="P173" s="8"/>
      <c r="Q173" s="8"/>
    </row>
    <row r="174" customFormat="false" ht="15" hidden="false" customHeight="true" outlineLevel="0" collapsed="false">
      <c r="A174" s="4"/>
      <c r="B174" s="4"/>
      <c r="C174" s="5"/>
      <c r="D174" s="4"/>
      <c r="E174" s="4"/>
      <c r="F174" s="4"/>
      <c r="G174" s="4"/>
      <c r="H174" s="4"/>
      <c r="I174" s="5"/>
      <c r="J174" s="7" t="str">
        <f aca="false">IF(OR(I174="",C174=""),"",(I174-C174)/C174)</f>
        <v/>
      </c>
      <c r="K174" s="4" t="str">
        <f aca="false">IF(J174="","",IF(J174&gt;0,"涨",IF(J174&lt;0,"跌","平")))</f>
        <v/>
      </c>
      <c r="L174" s="4" t="str">
        <f aca="false">IF(J174="","",IF(ABS(J174)&lt;=0.003,"小",IF(ABS(J174)&lt;=0.01,"中","大")))</f>
        <v/>
      </c>
      <c r="M174" s="4" t="str">
        <f aca="false">IF(OR(D174="",K174=""),"",IF(D174=K174,"√","×"))</f>
        <v/>
      </c>
      <c r="N174" s="4" t="str">
        <f aca="false">IF(OR(E174="",L174=""),"",IF(E174=L174,"√","×"))</f>
        <v/>
      </c>
      <c r="O174" s="4"/>
      <c r="P174" s="4"/>
      <c r="Q174" s="4"/>
    </row>
    <row r="175" customFormat="false" ht="15" hidden="false" customHeight="true" outlineLevel="0" collapsed="false">
      <c r="A175" s="8"/>
      <c r="B175" s="8"/>
      <c r="C175" s="9"/>
      <c r="D175" s="8"/>
      <c r="E175" s="8"/>
      <c r="F175" s="8"/>
      <c r="G175" s="8"/>
      <c r="H175" s="8"/>
      <c r="I175" s="9"/>
      <c r="J175" s="11" t="str">
        <f aca="false">IF(OR(I175="",C175=""),"",(I175-C175)/C175)</f>
        <v/>
      </c>
      <c r="K175" s="8" t="str">
        <f aca="false">IF(J175="","",IF(J175&gt;0,"涨",IF(J175&lt;0,"跌","平")))</f>
        <v/>
      </c>
      <c r="L175" s="8" t="str">
        <f aca="false">IF(J175="","",IF(ABS(J175)&lt;=0.003,"小",IF(ABS(J175)&lt;=0.01,"中","大")))</f>
        <v/>
      </c>
      <c r="M175" s="8" t="str">
        <f aca="false">IF(OR(D175="",K175=""),"",IF(D175=K175,"√","×"))</f>
        <v/>
      </c>
      <c r="N175" s="8" t="str">
        <f aca="false">IF(OR(E175="",L175=""),"",IF(E175=L175,"√","×"))</f>
        <v/>
      </c>
      <c r="O175" s="8"/>
      <c r="P175" s="8"/>
      <c r="Q175" s="8"/>
    </row>
    <row r="176" customFormat="false" ht="15" hidden="false" customHeight="true" outlineLevel="0" collapsed="false">
      <c r="A176" s="4"/>
      <c r="B176" s="4"/>
      <c r="C176" s="5"/>
      <c r="D176" s="4"/>
      <c r="E176" s="4"/>
      <c r="F176" s="4"/>
      <c r="G176" s="4"/>
      <c r="H176" s="4"/>
      <c r="I176" s="5"/>
      <c r="J176" s="7" t="str">
        <f aca="false">IF(OR(I176="",C176=""),"",(I176-C176)/C176)</f>
        <v/>
      </c>
      <c r="K176" s="4" t="str">
        <f aca="false">IF(J176="","",IF(J176&gt;0,"涨",IF(J176&lt;0,"跌","平")))</f>
        <v/>
      </c>
      <c r="L176" s="4" t="str">
        <f aca="false">IF(J176="","",IF(ABS(J176)&lt;=0.003,"小",IF(ABS(J176)&lt;=0.01,"中","大")))</f>
        <v/>
      </c>
      <c r="M176" s="4" t="str">
        <f aca="false">IF(OR(D176="",K176=""),"",IF(D176=K176,"√","×"))</f>
        <v/>
      </c>
      <c r="N176" s="4" t="str">
        <f aca="false">IF(OR(E176="",L176=""),"",IF(E176=L176,"√","×"))</f>
        <v/>
      </c>
      <c r="O176" s="4"/>
      <c r="P176" s="4"/>
      <c r="Q176" s="4"/>
    </row>
    <row r="177" customFormat="false" ht="15" hidden="false" customHeight="true" outlineLevel="0" collapsed="false">
      <c r="A177" s="8"/>
      <c r="B177" s="8"/>
      <c r="C177" s="9"/>
      <c r="D177" s="8"/>
      <c r="E177" s="8"/>
      <c r="F177" s="8"/>
      <c r="G177" s="8"/>
      <c r="H177" s="8"/>
      <c r="I177" s="9"/>
      <c r="J177" s="11" t="str">
        <f aca="false">IF(OR(I177="",C177=""),"",(I177-C177)/C177)</f>
        <v/>
      </c>
      <c r="K177" s="8" t="str">
        <f aca="false">IF(J177="","",IF(J177&gt;0,"涨",IF(J177&lt;0,"跌","平")))</f>
        <v/>
      </c>
      <c r="L177" s="8" t="str">
        <f aca="false">IF(J177="","",IF(ABS(J177)&lt;=0.003,"小",IF(ABS(J177)&lt;=0.01,"中","大")))</f>
        <v/>
      </c>
      <c r="M177" s="8" t="str">
        <f aca="false">IF(OR(D177="",K177=""),"",IF(D177=K177,"√","×"))</f>
        <v/>
      </c>
      <c r="N177" s="8" t="str">
        <f aca="false">IF(OR(E177="",L177=""),"",IF(E177=L177,"√","×"))</f>
        <v/>
      </c>
      <c r="O177" s="8"/>
      <c r="P177" s="8"/>
      <c r="Q177" s="8"/>
    </row>
    <row r="178" customFormat="false" ht="15" hidden="false" customHeight="true" outlineLevel="0" collapsed="false">
      <c r="A178" s="4"/>
      <c r="B178" s="4"/>
      <c r="C178" s="5"/>
      <c r="D178" s="4"/>
      <c r="E178" s="4"/>
      <c r="F178" s="4"/>
      <c r="G178" s="4"/>
      <c r="H178" s="4"/>
      <c r="I178" s="5"/>
      <c r="J178" s="7" t="str">
        <f aca="false">IF(OR(I178="",C178=""),"",(I178-C178)/C178)</f>
        <v/>
      </c>
      <c r="K178" s="4" t="str">
        <f aca="false">IF(J178="","",IF(J178&gt;0,"涨",IF(J178&lt;0,"跌","平")))</f>
        <v/>
      </c>
      <c r="L178" s="4" t="str">
        <f aca="false">IF(J178="","",IF(ABS(J178)&lt;=0.003,"小",IF(ABS(J178)&lt;=0.01,"中","大")))</f>
        <v/>
      </c>
      <c r="M178" s="4" t="str">
        <f aca="false">IF(OR(D178="",K178=""),"",IF(D178=K178,"√","×"))</f>
        <v/>
      </c>
      <c r="N178" s="4" t="str">
        <f aca="false">IF(OR(E178="",L178=""),"",IF(E178=L178,"√","×"))</f>
        <v/>
      </c>
      <c r="O178" s="4"/>
      <c r="P178" s="4"/>
      <c r="Q178" s="4"/>
    </row>
    <row r="179" customFormat="false" ht="15" hidden="false" customHeight="true" outlineLevel="0" collapsed="false">
      <c r="A179" s="8"/>
      <c r="B179" s="8"/>
      <c r="C179" s="9"/>
      <c r="D179" s="8"/>
      <c r="E179" s="8"/>
      <c r="F179" s="8"/>
      <c r="G179" s="8"/>
      <c r="H179" s="8"/>
      <c r="I179" s="9"/>
      <c r="J179" s="11" t="str">
        <f aca="false">IF(OR(I179="",C179=""),"",(I179-C179)/C179)</f>
        <v/>
      </c>
      <c r="K179" s="8" t="str">
        <f aca="false">IF(J179="","",IF(J179&gt;0,"涨",IF(J179&lt;0,"跌","平")))</f>
        <v/>
      </c>
      <c r="L179" s="8" t="str">
        <f aca="false">IF(J179="","",IF(ABS(J179)&lt;=0.003,"小",IF(ABS(J179)&lt;=0.01,"中","大")))</f>
        <v/>
      </c>
      <c r="M179" s="8" t="str">
        <f aca="false">IF(OR(D179="",K179=""),"",IF(D179=K179,"√","×"))</f>
        <v/>
      </c>
      <c r="N179" s="8" t="str">
        <f aca="false">IF(OR(E179="",L179=""),"",IF(E179=L179,"√","×"))</f>
        <v/>
      </c>
      <c r="O179" s="8"/>
      <c r="P179" s="8"/>
      <c r="Q179" s="8"/>
    </row>
    <row r="180" customFormat="false" ht="15" hidden="false" customHeight="true" outlineLevel="0" collapsed="false">
      <c r="A180" s="4"/>
      <c r="B180" s="4"/>
      <c r="C180" s="5"/>
      <c r="D180" s="4"/>
      <c r="E180" s="4"/>
      <c r="F180" s="4"/>
      <c r="G180" s="4"/>
      <c r="H180" s="4"/>
      <c r="I180" s="5"/>
      <c r="J180" s="7" t="str">
        <f aca="false">IF(OR(I180="",C180=""),"",(I180-C180)/C180)</f>
        <v/>
      </c>
      <c r="K180" s="4" t="str">
        <f aca="false">IF(J180="","",IF(J180&gt;0,"涨",IF(J180&lt;0,"跌","平")))</f>
        <v/>
      </c>
      <c r="L180" s="4" t="str">
        <f aca="false">IF(J180="","",IF(ABS(J180)&lt;=0.003,"小",IF(ABS(J180)&lt;=0.01,"中","大")))</f>
        <v/>
      </c>
      <c r="M180" s="4" t="str">
        <f aca="false">IF(OR(D180="",K180=""),"",IF(D180=K180,"√","×"))</f>
        <v/>
      </c>
      <c r="N180" s="4" t="str">
        <f aca="false">IF(OR(E180="",L180=""),"",IF(E180=L180,"√","×"))</f>
        <v/>
      </c>
      <c r="O180" s="4"/>
      <c r="P180" s="4"/>
      <c r="Q180" s="4"/>
    </row>
    <row r="181" customFormat="false" ht="15" hidden="false" customHeight="true" outlineLevel="0" collapsed="false">
      <c r="A181" s="8"/>
      <c r="B181" s="8"/>
      <c r="C181" s="9"/>
      <c r="D181" s="8"/>
      <c r="E181" s="8"/>
      <c r="F181" s="8"/>
      <c r="G181" s="8"/>
      <c r="H181" s="8"/>
      <c r="I181" s="9"/>
      <c r="J181" s="11" t="str">
        <f aca="false">IF(OR(I181="",C181=""),"",(I181-C181)/C181)</f>
        <v/>
      </c>
      <c r="K181" s="8" t="str">
        <f aca="false">IF(J181="","",IF(J181&gt;0,"涨",IF(J181&lt;0,"跌","平")))</f>
        <v/>
      </c>
      <c r="L181" s="8" t="str">
        <f aca="false">IF(J181="","",IF(ABS(J181)&lt;=0.003,"小",IF(ABS(J181)&lt;=0.01,"中","大")))</f>
        <v/>
      </c>
      <c r="M181" s="8" t="str">
        <f aca="false">IF(OR(D181="",K181=""),"",IF(D181=K181,"√","×"))</f>
        <v/>
      </c>
      <c r="N181" s="8" t="str">
        <f aca="false">IF(OR(E181="",L181=""),"",IF(E181=L181,"√","×"))</f>
        <v/>
      </c>
      <c r="O181" s="8"/>
      <c r="P181" s="8"/>
      <c r="Q181" s="8"/>
    </row>
    <row r="182" customFormat="false" ht="15" hidden="false" customHeight="true" outlineLevel="0" collapsed="false">
      <c r="A182" s="4"/>
      <c r="B182" s="4"/>
      <c r="C182" s="5"/>
      <c r="D182" s="4"/>
      <c r="E182" s="4"/>
      <c r="F182" s="4"/>
      <c r="G182" s="4"/>
      <c r="H182" s="4"/>
      <c r="I182" s="5"/>
      <c r="J182" s="7" t="str">
        <f aca="false">IF(OR(I182="",C182=""),"",(I182-C182)/C182)</f>
        <v/>
      </c>
      <c r="K182" s="4" t="str">
        <f aca="false">IF(J182="","",IF(J182&gt;0,"涨",IF(J182&lt;0,"跌","平")))</f>
        <v/>
      </c>
      <c r="L182" s="4" t="str">
        <f aca="false">IF(J182="","",IF(ABS(J182)&lt;=0.003,"小",IF(ABS(J182)&lt;=0.01,"中","大")))</f>
        <v/>
      </c>
      <c r="M182" s="4" t="str">
        <f aca="false">IF(OR(D182="",K182=""),"",IF(D182=K182,"√","×"))</f>
        <v/>
      </c>
      <c r="N182" s="4" t="str">
        <f aca="false">IF(OR(E182="",L182=""),"",IF(E182=L182,"√","×"))</f>
        <v/>
      </c>
      <c r="O182" s="4"/>
      <c r="P182" s="4"/>
      <c r="Q182" s="4"/>
    </row>
    <row r="183" customFormat="false" ht="15" hidden="false" customHeight="true" outlineLevel="0" collapsed="false">
      <c r="A183" s="8"/>
      <c r="B183" s="8"/>
      <c r="C183" s="9"/>
      <c r="D183" s="8"/>
      <c r="E183" s="8"/>
      <c r="F183" s="8"/>
      <c r="G183" s="8"/>
      <c r="H183" s="8"/>
      <c r="I183" s="9"/>
      <c r="J183" s="11" t="str">
        <f aca="false">IF(OR(I183="",C183=""),"",(I183-C183)/C183)</f>
        <v/>
      </c>
      <c r="K183" s="8" t="str">
        <f aca="false">IF(J183="","",IF(J183&gt;0,"涨",IF(J183&lt;0,"跌","平")))</f>
        <v/>
      </c>
      <c r="L183" s="8" t="str">
        <f aca="false">IF(J183="","",IF(ABS(J183)&lt;=0.003,"小",IF(ABS(J183)&lt;=0.01,"中","大")))</f>
        <v/>
      </c>
      <c r="M183" s="8" t="str">
        <f aca="false">IF(OR(D183="",K183=""),"",IF(D183=K183,"√","×"))</f>
        <v/>
      </c>
      <c r="N183" s="8" t="str">
        <f aca="false">IF(OR(E183="",L183=""),"",IF(E183=L183,"√","×"))</f>
        <v/>
      </c>
      <c r="O183" s="8"/>
      <c r="P183" s="8"/>
      <c r="Q183" s="8"/>
    </row>
    <row r="184" customFormat="false" ht="15" hidden="false" customHeight="true" outlineLevel="0" collapsed="false">
      <c r="A184" s="4"/>
      <c r="B184" s="4"/>
      <c r="C184" s="5"/>
      <c r="D184" s="4"/>
      <c r="E184" s="4"/>
      <c r="F184" s="4"/>
      <c r="G184" s="4"/>
      <c r="H184" s="4"/>
      <c r="I184" s="5"/>
      <c r="J184" s="7" t="str">
        <f aca="false">IF(OR(I184="",C184=""),"",(I184-C184)/C184)</f>
        <v/>
      </c>
      <c r="K184" s="4" t="str">
        <f aca="false">IF(J184="","",IF(J184&gt;0,"涨",IF(J184&lt;0,"跌","平")))</f>
        <v/>
      </c>
      <c r="L184" s="4" t="str">
        <f aca="false">IF(J184="","",IF(ABS(J184)&lt;=0.003,"小",IF(ABS(J184)&lt;=0.01,"中","大")))</f>
        <v/>
      </c>
      <c r="M184" s="4" t="str">
        <f aca="false">IF(OR(D184="",K184=""),"",IF(D184=K184,"√","×"))</f>
        <v/>
      </c>
      <c r="N184" s="4" t="str">
        <f aca="false">IF(OR(E184="",L184=""),"",IF(E184=L184,"√","×"))</f>
        <v/>
      </c>
      <c r="O184" s="4"/>
      <c r="P184" s="4"/>
      <c r="Q184" s="4"/>
    </row>
    <row r="185" customFormat="false" ht="15" hidden="false" customHeight="true" outlineLevel="0" collapsed="false">
      <c r="A185" s="8"/>
      <c r="B185" s="8"/>
      <c r="C185" s="9"/>
      <c r="D185" s="8"/>
      <c r="E185" s="8"/>
      <c r="F185" s="8"/>
      <c r="G185" s="8"/>
      <c r="H185" s="8"/>
      <c r="I185" s="9"/>
      <c r="J185" s="11" t="str">
        <f aca="false">IF(OR(I185="",C185=""),"",(I185-C185)/C185)</f>
        <v/>
      </c>
      <c r="K185" s="8" t="str">
        <f aca="false">IF(J185="","",IF(J185&gt;0,"涨",IF(J185&lt;0,"跌","平")))</f>
        <v/>
      </c>
      <c r="L185" s="8" t="str">
        <f aca="false">IF(J185="","",IF(ABS(J185)&lt;=0.003,"小",IF(ABS(J185)&lt;=0.01,"中","大")))</f>
        <v/>
      </c>
      <c r="M185" s="8" t="str">
        <f aca="false">IF(OR(D185="",K185=""),"",IF(D185=K185,"√","×"))</f>
        <v/>
      </c>
      <c r="N185" s="8" t="str">
        <f aca="false">IF(OR(E185="",L185=""),"",IF(E185=L185,"√","×"))</f>
        <v/>
      </c>
      <c r="O185" s="8"/>
      <c r="P185" s="8"/>
      <c r="Q185" s="8"/>
    </row>
    <row r="186" customFormat="false" ht="15" hidden="false" customHeight="true" outlineLevel="0" collapsed="false">
      <c r="A186" s="4"/>
      <c r="B186" s="4"/>
      <c r="C186" s="5"/>
      <c r="D186" s="4"/>
      <c r="E186" s="4"/>
      <c r="F186" s="4"/>
      <c r="G186" s="4"/>
      <c r="H186" s="4"/>
      <c r="I186" s="5"/>
      <c r="J186" s="7" t="str">
        <f aca="false">IF(OR(I186="",C186=""),"",(I186-C186)/C186)</f>
        <v/>
      </c>
      <c r="K186" s="4" t="str">
        <f aca="false">IF(J186="","",IF(J186&gt;0,"涨",IF(J186&lt;0,"跌","平")))</f>
        <v/>
      </c>
      <c r="L186" s="4" t="str">
        <f aca="false">IF(J186="","",IF(ABS(J186)&lt;=0.003,"小",IF(ABS(J186)&lt;=0.01,"中","大")))</f>
        <v/>
      </c>
      <c r="M186" s="4" t="str">
        <f aca="false">IF(OR(D186="",K186=""),"",IF(D186=K186,"√","×"))</f>
        <v/>
      </c>
      <c r="N186" s="4" t="str">
        <f aca="false">IF(OR(E186="",L186=""),"",IF(E186=L186,"√","×"))</f>
        <v/>
      </c>
      <c r="O186" s="4"/>
      <c r="P186" s="4"/>
      <c r="Q186" s="4"/>
    </row>
    <row r="187" customFormat="false" ht="15" hidden="false" customHeight="true" outlineLevel="0" collapsed="false">
      <c r="A187" s="8"/>
      <c r="B187" s="8"/>
      <c r="C187" s="9"/>
      <c r="D187" s="8"/>
      <c r="E187" s="8"/>
      <c r="F187" s="8"/>
      <c r="G187" s="8"/>
      <c r="H187" s="8"/>
      <c r="I187" s="9"/>
      <c r="J187" s="11" t="str">
        <f aca="false">IF(OR(I187="",C187=""),"",(I187-C187)/C187)</f>
        <v/>
      </c>
      <c r="K187" s="8" t="str">
        <f aca="false">IF(J187="","",IF(J187&gt;0,"涨",IF(J187&lt;0,"跌","平")))</f>
        <v/>
      </c>
      <c r="L187" s="8" t="str">
        <f aca="false">IF(J187="","",IF(ABS(J187)&lt;=0.003,"小",IF(ABS(J187)&lt;=0.01,"中","大")))</f>
        <v/>
      </c>
      <c r="M187" s="8" t="str">
        <f aca="false">IF(OR(D187="",K187=""),"",IF(D187=K187,"√","×"))</f>
        <v/>
      </c>
      <c r="N187" s="8" t="str">
        <f aca="false">IF(OR(E187="",L187=""),"",IF(E187=L187,"√","×"))</f>
        <v/>
      </c>
      <c r="O187" s="8"/>
      <c r="P187" s="8"/>
      <c r="Q187" s="8"/>
    </row>
    <row r="188" customFormat="false" ht="15" hidden="false" customHeight="true" outlineLevel="0" collapsed="false">
      <c r="A188" s="4"/>
      <c r="B188" s="4"/>
      <c r="C188" s="5"/>
      <c r="D188" s="4"/>
      <c r="E188" s="4"/>
      <c r="F188" s="4"/>
      <c r="G188" s="4"/>
      <c r="H188" s="4"/>
      <c r="I188" s="5"/>
      <c r="J188" s="7" t="str">
        <f aca="false">IF(OR(I188="",C188=""),"",(I188-C188)/C188)</f>
        <v/>
      </c>
      <c r="K188" s="4" t="str">
        <f aca="false">IF(J188="","",IF(J188&gt;0,"涨",IF(J188&lt;0,"跌","平")))</f>
        <v/>
      </c>
      <c r="L188" s="4" t="str">
        <f aca="false">IF(J188="","",IF(ABS(J188)&lt;=0.003,"小",IF(ABS(J188)&lt;=0.01,"中","大")))</f>
        <v/>
      </c>
      <c r="M188" s="4" t="str">
        <f aca="false">IF(OR(D188="",K188=""),"",IF(D188=K188,"√","×"))</f>
        <v/>
      </c>
      <c r="N188" s="4" t="str">
        <f aca="false">IF(OR(E188="",L188=""),"",IF(E188=L188,"√","×"))</f>
        <v/>
      </c>
      <c r="O188" s="4"/>
      <c r="P188" s="4"/>
      <c r="Q188" s="4"/>
    </row>
    <row r="189" customFormat="false" ht="15" hidden="false" customHeight="true" outlineLevel="0" collapsed="false">
      <c r="A189" s="8"/>
      <c r="B189" s="8"/>
      <c r="C189" s="9"/>
      <c r="D189" s="8"/>
      <c r="E189" s="8"/>
      <c r="F189" s="8"/>
      <c r="G189" s="8"/>
      <c r="H189" s="8"/>
      <c r="I189" s="9"/>
      <c r="J189" s="11" t="str">
        <f aca="false">IF(OR(I189="",C189=""),"",(I189-C189)/C189)</f>
        <v/>
      </c>
      <c r="K189" s="8" t="str">
        <f aca="false">IF(J189="","",IF(J189&gt;0,"涨",IF(J189&lt;0,"跌","平")))</f>
        <v/>
      </c>
      <c r="L189" s="8" t="str">
        <f aca="false">IF(J189="","",IF(ABS(J189)&lt;=0.003,"小",IF(ABS(J189)&lt;=0.01,"中","大")))</f>
        <v/>
      </c>
      <c r="M189" s="8" t="str">
        <f aca="false">IF(OR(D189="",K189=""),"",IF(D189=K189,"√","×"))</f>
        <v/>
      </c>
      <c r="N189" s="8" t="str">
        <f aca="false">IF(OR(E189="",L189=""),"",IF(E189=L189,"√","×"))</f>
        <v/>
      </c>
      <c r="O189" s="8"/>
      <c r="P189" s="8"/>
      <c r="Q189" s="8"/>
    </row>
    <row r="190" customFormat="false" ht="15" hidden="false" customHeight="true" outlineLevel="0" collapsed="false">
      <c r="A190" s="4"/>
      <c r="B190" s="4"/>
      <c r="C190" s="5"/>
      <c r="D190" s="4"/>
      <c r="E190" s="4"/>
      <c r="F190" s="4"/>
      <c r="G190" s="4"/>
      <c r="H190" s="4"/>
      <c r="I190" s="5"/>
      <c r="J190" s="7" t="str">
        <f aca="false">IF(OR(I190="",C190=""),"",(I190-C190)/C190)</f>
        <v/>
      </c>
      <c r="K190" s="4" t="str">
        <f aca="false">IF(J190="","",IF(J190&gt;0,"涨",IF(J190&lt;0,"跌","平")))</f>
        <v/>
      </c>
      <c r="L190" s="4" t="str">
        <f aca="false">IF(J190="","",IF(ABS(J190)&lt;=0.003,"小",IF(ABS(J190)&lt;=0.01,"中","大")))</f>
        <v/>
      </c>
      <c r="M190" s="4" t="str">
        <f aca="false">IF(OR(D190="",K190=""),"",IF(D190=K190,"√","×"))</f>
        <v/>
      </c>
      <c r="N190" s="4" t="str">
        <f aca="false">IF(OR(E190="",L190=""),"",IF(E190=L190,"√","×"))</f>
        <v/>
      </c>
      <c r="O190" s="4"/>
      <c r="P190" s="4"/>
      <c r="Q190" s="4"/>
    </row>
    <row r="191" customFormat="false" ht="15" hidden="false" customHeight="true" outlineLevel="0" collapsed="false">
      <c r="A191" s="8"/>
      <c r="B191" s="8"/>
      <c r="C191" s="9"/>
      <c r="D191" s="8"/>
      <c r="E191" s="8"/>
      <c r="F191" s="8"/>
      <c r="G191" s="8"/>
      <c r="H191" s="8"/>
      <c r="I191" s="9"/>
      <c r="J191" s="11" t="str">
        <f aca="false">IF(OR(I191="",C191=""),"",(I191-C191)/C191)</f>
        <v/>
      </c>
      <c r="K191" s="8" t="str">
        <f aca="false">IF(J191="","",IF(J191&gt;0,"涨",IF(J191&lt;0,"跌","平")))</f>
        <v/>
      </c>
      <c r="L191" s="8" t="str">
        <f aca="false">IF(J191="","",IF(ABS(J191)&lt;=0.003,"小",IF(ABS(J191)&lt;=0.01,"中","大")))</f>
        <v/>
      </c>
      <c r="M191" s="8" t="str">
        <f aca="false">IF(OR(D191="",K191=""),"",IF(D191=K191,"√","×"))</f>
        <v/>
      </c>
      <c r="N191" s="8" t="str">
        <f aca="false">IF(OR(E191="",L191=""),"",IF(E191=L191,"√","×"))</f>
        <v/>
      </c>
      <c r="O191" s="8"/>
      <c r="P191" s="8"/>
      <c r="Q191" s="8"/>
    </row>
    <row r="192" customFormat="false" ht="15" hidden="false" customHeight="true" outlineLevel="0" collapsed="false">
      <c r="A192" s="4"/>
      <c r="B192" s="4"/>
      <c r="C192" s="5"/>
      <c r="D192" s="4"/>
      <c r="E192" s="4"/>
      <c r="F192" s="4"/>
      <c r="G192" s="4"/>
      <c r="H192" s="4"/>
      <c r="I192" s="5"/>
      <c r="J192" s="7" t="str">
        <f aca="false">IF(OR(I192="",C192=""),"",(I192-C192)/C192)</f>
        <v/>
      </c>
      <c r="K192" s="4" t="str">
        <f aca="false">IF(J192="","",IF(J192&gt;0,"涨",IF(J192&lt;0,"跌","平")))</f>
        <v/>
      </c>
      <c r="L192" s="4" t="str">
        <f aca="false">IF(J192="","",IF(ABS(J192)&lt;=0.003,"小",IF(ABS(J192)&lt;=0.01,"中","大")))</f>
        <v/>
      </c>
      <c r="M192" s="4" t="str">
        <f aca="false">IF(OR(D192="",K192=""),"",IF(D192=K192,"√","×"))</f>
        <v/>
      </c>
      <c r="N192" s="4" t="str">
        <f aca="false">IF(OR(E192="",L192=""),"",IF(E192=L192,"√","×"))</f>
        <v/>
      </c>
      <c r="O192" s="4"/>
      <c r="P192" s="4"/>
      <c r="Q192" s="4"/>
    </row>
    <row r="193" customFormat="false" ht="15" hidden="false" customHeight="true" outlineLevel="0" collapsed="false">
      <c r="A193" s="8"/>
      <c r="B193" s="8"/>
      <c r="C193" s="9"/>
      <c r="D193" s="8"/>
      <c r="E193" s="8"/>
      <c r="F193" s="8"/>
      <c r="G193" s="8"/>
      <c r="H193" s="8"/>
      <c r="I193" s="9"/>
      <c r="J193" s="11" t="str">
        <f aca="false">IF(OR(I193="",C193=""),"",(I193-C193)/C193)</f>
        <v/>
      </c>
      <c r="K193" s="8" t="str">
        <f aca="false">IF(J193="","",IF(J193&gt;0,"涨",IF(J193&lt;0,"跌","平")))</f>
        <v/>
      </c>
      <c r="L193" s="8" t="str">
        <f aca="false">IF(J193="","",IF(ABS(J193)&lt;=0.003,"小",IF(ABS(J193)&lt;=0.01,"中","大")))</f>
        <v/>
      </c>
      <c r="M193" s="8" t="str">
        <f aca="false">IF(OR(D193="",K193=""),"",IF(D193=K193,"√","×"))</f>
        <v/>
      </c>
      <c r="N193" s="8" t="str">
        <f aca="false">IF(OR(E193="",L193=""),"",IF(E193=L193,"√","×"))</f>
        <v/>
      </c>
      <c r="O193" s="8"/>
      <c r="P193" s="8"/>
      <c r="Q193" s="8"/>
    </row>
    <row r="194" customFormat="false" ht="15" hidden="false" customHeight="true" outlineLevel="0" collapsed="false">
      <c r="A194" s="4"/>
      <c r="B194" s="4"/>
      <c r="C194" s="5"/>
      <c r="D194" s="4"/>
      <c r="E194" s="4"/>
      <c r="F194" s="4"/>
      <c r="G194" s="4"/>
      <c r="H194" s="4"/>
      <c r="I194" s="5"/>
      <c r="J194" s="7" t="str">
        <f aca="false">IF(OR(I194="",C194=""),"",(I194-C194)/C194)</f>
        <v/>
      </c>
      <c r="K194" s="4" t="str">
        <f aca="false">IF(J194="","",IF(J194&gt;0,"涨",IF(J194&lt;0,"跌","平")))</f>
        <v/>
      </c>
      <c r="L194" s="4" t="str">
        <f aca="false">IF(J194="","",IF(ABS(J194)&lt;=0.003,"小",IF(ABS(J194)&lt;=0.01,"中","大")))</f>
        <v/>
      </c>
      <c r="M194" s="4" t="str">
        <f aca="false">IF(OR(D194="",K194=""),"",IF(D194=K194,"√","×"))</f>
        <v/>
      </c>
      <c r="N194" s="4" t="str">
        <f aca="false">IF(OR(E194="",L194=""),"",IF(E194=L194,"√","×"))</f>
        <v/>
      </c>
      <c r="O194" s="4"/>
      <c r="P194" s="4"/>
      <c r="Q194" s="4"/>
    </row>
    <row r="195" customFormat="false" ht="15" hidden="false" customHeight="true" outlineLevel="0" collapsed="false">
      <c r="A195" s="8"/>
      <c r="B195" s="8"/>
      <c r="C195" s="9"/>
      <c r="D195" s="8"/>
      <c r="E195" s="8"/>
      <c r="F195" s="8"/>
      <c r="G195" s="8"/>
      <c r="H195" s="8"/>
      <c r="I195" s="9"/>
      <c r="J195" s="11" t="str">
        <f aca="false">IF(OR(I195="",C195=""),"",(I195-C195)/C195)</f>
        <v/>
      </c>
      <c r="K195" s="8" t="str">
        <f aca="false">IF(J195="","",IF(J195&gt;0,"涨",IF(J195&lt;0,"跌","平")))</f>
        <v/>
      </c>
      <c r="L195" s="8" t="str">
        <f aca="false">IF(J195="","",IF(ABS(J195)&lt;=0.003,"小",IF(ABS(J195)&lt;=0.01,"中","大")))</f>
        <v/>
      </c>
      <c r="M195" s="8" t="str">
        <f aca="false">IF(OR(D195="",K195=""),"",IF(D195=K195,"√","×"))</f>
        <v/>
      </c>
      <c r="N195" s="8" t="str">
        <f aca="false">IF(OR(E195="",L195=""),"",IF(E195=L195,"√","×"))</f>
        <v/>
      </c>
      <c r="O195" s="8"/>
      <c r="P195" s="8"/>
      <c r="Q195" s="8"/>
    </row>
    <row r="196" customFormat="false" ht="15" hidden="false" customHeight="true" outlineLevel="0" collapsed="false">
      <c r="A196" s="4"/>
      <c r="B196" s="4"/>
      <c r="C196" s="5"/>
      <c r="D196" s="4"/>
      <c r="E196" s="4"/>
      <c r="F196" s="4"/>
      <c r="G196" s="4"/>
      <c r="H196" s="4"/>
      <c r="I196" s="5"/>
      <c r="J196" s="7" t="str">
        <f aca="false">IF(OR(I196="",C196=""),"",(I196-C196)/C196)</f>
        <v/>
      </c>
      <c r="K196" s="4" t="str">
        <f aca="false">IF(J196="","",IF(J196&gt;0,"涨",IF(J196&lt;0,"跌","平")))</f>
        <v/>
      </c>
      <c r="L196" s="4" t="str">
        <f aca="false">IF(J196="","",IF(ABS(J196)&lt;=0.003,"小",IF(ABS(J196)&lt;=0.01,"中","大")))</f>
        <v/>
      </c>
      <c r="M196" s="4" t="str">
        <f aca="false">IF(OR(D196="",K196=""),"",IF(D196=K196,"√","×"))</f>
        <v/>
      </c>
      <c r="N196" s="4" t="str">
        <f aca="false">IF(OR(E196="",L196=""),"",IF(E196=L196,"√","×"))</f>
        <v/>
      </c>
      <c r="O196" s="4"/>
      <c r="P196" s="4"/>
      <c r="Q196" s="4"/>
    </row>
    <row r="197" customFormat="false" ht="15" hidden="false" customHeight="true" outlineLevel="0" collapsed="false">
      <c r="A197" s="8"/>
      <c r="B197" s="8"/>
      <c r="C197" s="9"/>
      <c r="D197" s="8"/>
      <c r="E197" s="8"/>
      <c r="F197" s="8"/>
      <c r="G197" s="8"/>
      <c r="H197" s="8"/>
      <c r="I197" s="9"/>
      <c r="J197" s="11" t="str">
        <f aca="false">IF(OR(I197="",C197=""),"",(I197-C197)/C197)</f>
        <v/>
      </c>
      <c r="K197" s="8" t="str">
        <f aca="false">IF(J197="","",IF(J197&gt;0,"涨",IF(J197&lt;0,"跌","平")))</f>
        <v/>
      </c>
      <c r="L197" s="8" t="str">
        <f aca="false">IF(J197="","",IF(ABS(J197)&lt;=0.003,"小",IF(ABS(J197)&lt;=0.01,"中","大")))</f>
        <v/>
      </c>
      <c r="M197" s="8" t="str">
        <f aca="false">IF(OR(D197="",K197=""),"",IF(D197=K197,"√","×"))</f>
        <v/>
      </c>
      <c r="N197" s="8" t="str">
        <f aca="false">IF(OR(E197="",L197=""),"",IF(E197=L197,"√","×"))</f>
        <v/>
      </c>
      <c r="O197" s="8"/>
      <c r="P197" s="8"/>
      <c r="Q197" s="8"/>
    </row>
    <row r="198" customFormat="false" ht="15" hidden="false" customHeight="true" outlineLevel="0" collapsed="false">
      <c r="A198" s="4"/>
      <c r="B198" s="4"/>
      <c r="C198" s="5"/>
      <c r="D198" s="4"/>
      <c r="E198" s="4"/>
      <c r="F198" s="4"/>
      <c r="G198" s="4"/>
      <c r="H198" s="4"/>
      <c r="I198" s="5"/>
      <c r="J198" s="7" t="str">
        <f aca="false">IF(OR(I198="",C198=""),"",(I198-C198)/C198)</f>
        <v/>
      </c>
      <c r="K198" s="4" t="str">
        <f aca="false">IF(J198="","",IF(J198&gt;0,"涨",IF(J198&lt;0,"跌","平")))</f>
        <v/>
      </c>
      <c r="L198" s="4" t="str">
        <f aca="false">IF(J198="","",IF(ABS(J198)&lt;=0.003,"小",IF(ABS(J198)&lt;=0.01,"中","大")))</f>
        <v/>
      </c>
      <c r="M198" s="4" t="str">
        <f aca="false">IF(OR(D198="",K198=""),"",IF(D198=K198,"√","×"))</f>
        <v/>
      </c>
      <c r="N198" s="4" t="str">
        <f aca="false">IF(OR(E198="",L198=""),"",IF(E198=L198,"√","×"))</f>
        <v/>
      </c>
      <c r="O198" s="4"/>
      <c r="P198" s="4"/>
      <c r="Q198" s="4"/>
    </row>
    <row r="199" customFormat="false" ht="15" hidden="false" customHeight="true" outlineLevel="0" collapsed="false">
      <c r="A199" s="8"/>
      <c r="B199" s="8"/>
      <c r="C199" s="9"/>
      <c r="D199" s="8"/>
      <c r="E199" s="8"/>
      <c r="F199" s="8"/>
      <c r="G199" s="8"/>
      <c r="H199" s="8"/>
      <c r="I199" s="9"/>
      <c r="J199" s="11" t="str">
        <f aca="false">IF(OR(I199="",C199=""),"",(I199-C199)/C199)</f>
        <v/>
      </c>
      <c r="K199" s="8" t="str">
        <f aca="false">IF(J199="","",IF(J199&gt;0,"涨",IF(J199&lt;0,"跌","平")))</f>
        <v/>
      </c>
      <c r="L199" s="8" t="str">
        <f aca="false">IF(J199="","",IF(ABS(J199)&lt;=0.003,"小",IF(ABS(J199)&lt;=0.01,"中","大")))</f>
        <v/>
      </c>
      <c r="M199" s="8" t="str">
        <f aca="false">IF(OR(D199="",K199=""),"",IF(D199=K199,"√","×"))</f>
        <v/>
      </c>
      <c r="N199" s="8" t="str">
        <f aca="false">IF(OR(E199="",L199=""),"",IF(E199=L199,"√","×"))</f>
        <v/>
      </c>
      <c r="O199" s="8"/>
      <c r="P199" s="8"/>
      <c r="Q199" s="8"/>
    </row>
    <row r="200" customFormat="false" ht="15" hidden="false" customHeight="true" outlineLevel="0" collapsed="false">
      <c r="A200" s="4"/>
      <c r="B200" s="4"/>
      <c r="C200" s="5"/>
      <c r="D200" s="4"/>
      <c r="E200" s="4"/>
      <c r="F200" s="4"/>
      <c r="G200" s="4"/>
      <c r="H200" s="4"/>
      <c r="I200" s="5"/>
      <c r="J200" s="7" t="str">
        <f aca="false">IF(OR(I200="",C200=""),"",(I200-C200)/C200)</f>
        <v/>
      </c>
      <c r="K200" s="4" t="str">
        <f aca="false">IF(J200="","",IF(J200&gt;0,"涨",IF(J200&lt;0,"跌","平")))</f>
        <v/>
      </c>
      <c r="L200" s="4" t="str">
        <f aca="false">IF(J200="","",IF(ABS(J200)&lt;=0.003,"小",IF(ABS(J200)&lt;=0.01,"中","大")))</f>
        <v/>
      </c>
      <c r="M200" s="4" t="str">
        <f aca="false">IF(OR(D200="",K200=""),"",IF(D200=K200,"√","×"))</f>
        <v/>
      </c>
      <c r="N200" s="4" t="str">
        <f aca="false">IF(OR(E200="",L200=""),"",IF(E200=L200,"√","×"))</f>
        <v/>
      </c>
      <c r="O200" s="4"/>
      <c r="P200" s="4"/>
      <c r="Q200" s="4"/>
    </row>
    <row r="201" customFormat="false" ht="15" hidden="false" customHeight="true" outlineLevel="0" collapsed="false">
      <c r="A201" s="8"/>
      <c r="B201" s="8"/>
      <c r="C201" s="9"/>
      <c r="D201" s="8"/>
      <c r="E201" s="8"/>
      <c r="F201" s="8"/>
      <c r="G201" s="8"/>
      <c r="H201" s="8"/>
      <c r="I201" s="9"/>
      <c r="J201" s="11" t="str">
        <f aca="false">IF(OR(I201="",C201=""),"",(I201-C201)/C201)</f>
        <v/>
      </c>
      <c r="K201" s="8" t="str">
        <f aca="false">IF(J201="","",IF(J201&gt;0,"涨",IF(J201&lt;0,"跌","平")))</f>
        <v/>
      </c>
      <c r="L201" s="8" t="str">
        <f aca="false">IF(J201="","",IF(ABS(J201)&lt;=0.003,"小",IF(ABS(J201)&lt;=0.01,"中","大")))</f>
        <v/>
      </c>
      <c r="M201" s="8" t="str">
        <f aca="false">IF(OR(D201="",K201=""),"",IF(D201=K201,"√","×"))</f>
        <v/>
      </c>
      <c r="N201" s="8" t="str">
        <f aca="false">IF(OR(E201="",L201=""),"",IF(E201=L201,"√","×"))</f>
        <v/>
      </c>
      <c r="O201" s="8"/>
      <c r="P201" s="8"/>
      <c r="Q201" s="8"/>
    </row>
    <row r="202" customFormat="false" ht="15" hidden="false" customHeight="true" outlineLevel="0" collapsed="false">
      <c r="A202" s="4"/>
      <c r="B202" s="4"/>
      <c r="C202" s="5"/>
      <c r="D202" s="4"/>
      <c r="E202" s="4"/>
      <c r="F202" s="4"/>
      <c r="G202" s="4"/>
      <c r="H202" s="4"/>
      <c r="I202" s="5"/>
      <c r="J202" s="7" t="str">
        <f aca="false">IF(OR(I202="",C202=""),"",(I202-C202)/C202)</f>
        <v/>
      </c>
      <c r="K202" s="4" t="str">
        <f aca="false">IF(J202="","",IF(J202&gt;0,"涨",IF(J202&lt;0,"跌","平")))</f>
        <v/>
      </c>
      <c r="L202" s="4" t="str">
        <f aca="false">IF(J202="","",IF(ABS(J202)&lt;=0.003,"小",IF(ABS(J202)&lt;=0.01,"中","大")))</f>
        <v/>
      </c>
      <c r="M202" s="4" t="str">
        <f aca="false">IF(OR(D202="",K202=""),"",IF(D202=K202,"√","×"))</f>
        <v/>
      </c>
      <c r="N202" s="4" t="str">
        <f aca="false">IF(OR(E202="",L202=""),"",IF(E202=L202,"√","×"))</f>
        <v/>
      </c>
      <c r="O202" s="4"/>
      <c r="P202" s="4"/>
      <c r="Q202" s="4"/>
    </row>
    <row r="203" customFormat="false" ht="15" hidden="false" customHeight="true" outlineLevel="0" collapsed="false">
      <c r="A203" s="8"/>
      <c r="B203" s="8"/>
      <c r="C203" s="9"/>
      <c r="D203" s="8"/>
      <c r="E203" s="8"/>
      <c r="F203" s="8"/>
      <c r="G203" s="8"/>
      <c r="H203" s="8"/>
      <c r="I203" s="9"/>
      <c r="J203" s="11" t="str">
        <f aca="false">IF(OR(I203="",C203=""),"",(I203-C203)/C203)</f>
        <v/>
      </c>
      <c r="K203" s="8" t="str">
        <f aca="false">IF(J203="","",IF(J203&gt;0,"涨",IF(J203&lt;0,"跌","平")))</f>
        <v/>
      </c>
      <c r="L203" s="8" t="str">
        <f aca="false">IF(J203="","",IF(ABS(J203)&lt;=0.003,"小",IF(ABS(J203)&lt;=0.01,"中","大")))</f>
        <v/>
      </c>
      <c r="M203" s="8" t="str">
        <f aca="false">IF(OR(D203="",K203=""),"",IF(D203=K203,"√","×"))</f>
        <v/>
      </c>
      <c r="N203" s="8" t="str">
        <f aca="false">IF(OR(E203="",L203=""),"",IF(E203=L203,"√","×"))</f>
        <v/>
      </c>
      <c r="O203" s="8"/>
      <c r="P203" s="8"/>
      <c r="Q203" s="8"/>
    </row>
    <row r="204" customFormat="false" ht="15" hidden="false" customHeight="true" outlineLevel="0" collapsed="false">
      <c r="A204" s="4"/>
      <c r="B204" s="4"/>
      <c r="C204" s="5"/>
      <c r="D204" s="4"/>
      <c r="E204" s="4"/>
      <c r="F204" s="4"/>
      <c r="G204" s="4"/>
      <c r="H204" s="4"/>
      <c r="I204" s="5"/>
      <c r="J204" s="7" t="str">
        <f aca="false">IF(OR(I204="",C204=""),"",(I204-C204)/C204)</f>
        <v/>
      </c>
      <c r="K204" s="4" t="str">
        <f aca="false">IF(J204="","",IF(J204&gt;0,"涨",IF(J204&lt;0,"跌","平")))</f>
        <v/>
      </c>
      <c r="L204" s="4" t="str">
        <f aca="false">IF(J204="","",IF(ABS(J204)&lt;=0.003,"小",IF(ABS(J204)&lt;=0.01,"中","大")))</f>
        <v/>
      </c>
      <c r="M204" s="4" t="str">
        <f aca="false">IF(OR(D204="",K204=""),"",IF(D204=K204,"√","×"))</f>
        <v/>
      </c>
      <c r="N204" s="4" t="str">
        <f aca="false">IF(OR(E204="",L204=""),"",IF(E204=L204,"√","×"))</f>
        <v/>
      </c>
      <c r="O204" s="4"/>
      <c r="P204" s="4"/>
      <c r="Q204" s="4"/>
    </row>
    <row r="205" customFormat="false" ht="15" hidden="false" customHeight="true" outlineLevel="0" collapsed="false">
      <c r="A205" s="8"/>
      <c r="B205" s="8"/>
      <c r="C205" s="9"/>
      <c r="D205" s="8"/>
      <c r="E205" s="8"/>
      <c r="F205" s="8"/>
      <c r="G205" s="8"/>
      <c r="H205" s="8"/>
      <c r="I205" s="9"/>
      <c r="J205" s="11" t="str">
        <f aca="false">IF(OR(I205="",C205=""),"",(I205-C205)/C205)</f>
        <v/>
      </c>
      <c r="K205" s="8" t="str">
        <f aca="false">IF(J205="","",IF(J205&gt;0,"涨",IF(J205&lt;0,"跌","平")))</f>
        <v/>
      </c>
      <c r="L205" s="8" t="str">
        <f aca="false">IF(J205="","",IF(ABS(J205)&lt;=0.003,"小",IF(ABS(J205)&lt;=0.01,"中","大")))</f>
        <v/>
      </c>
      <c r="M205" s="8" t="str">
        <f aca="false">IF(OR(D205="",K205=""),"",IF(D205=K205,"√","×"))</f>
        <v/>
      </c>
      <c r="N205" s="8" t="str">
        <f aca="false">IF(OR(E205="",L205=""),"",IF(E205=L205,"√","×"))</f>
        <v/>
      </c>
      <c r="O205" s="8"/>
      <c r="P205" s="8"/>
      <c r="Q205" s="8"/>
    </row>
    <row r="206" customFormat="false" ht="15" hidden="false" customHeight="true" outlineLevel="0" collapsed="false">
      <c r="A206" s="4"/>
      <c r="B206" s="4"/>
      <c r="C206" s="5"/>
      <c r="D206" s="4"/>
      <c r="E206" s="4"/>
      <c r="F206" s="4"/>
      <c r="G206" s="4"/>
      <c r="H206" s="4"/>
      <c r="I206" s="5"/>
      <c r="J206" s="7" t="str">
        <f aca="false">IF(OR(I206="",C206=""),"",(I206-C206)/C206)</f>
        <v/>
      </c>
      <c r="K206" s="4" t="str">
        <f aca="false">IF(J206="","",IF(J206&gt;0,"涨",IF(J206&lt;0,"跌","平")))</f>
        <v/>
      </c>
      <c r="L206" s="4" t="str">
        <f aca="false">IF(J206="","",IF(ABS(J206)&lt;=0.003,"小",IF(ABS(J206)&lt;=0.01,"中","大")))</f>
        <v/>
      </c>
      <c r="M206" s="4" t="str">
        <f aca="false">IF(OR(D206="",K206=""),"",IF(D206=K206,"√","×"))</f>
        <v/>
      </c>
      <c r="N206" s="4" t="str">
        <f aca="false">IF(OR(E206="",L206=""),"",IF(E206=L206,"√","×"))</f>
        <v/>
      </c>
      <c r="O206" s="4"/>
      <c r="P206" s="4"/>
      <c r="Q206" s="4"/>
    </row>
    <row r="207" customFormat="false" ht="15" hidden="false" customHeight="true" outlineLevel="0" collapsed="false">
      <c r="A207" s="8"/>
      <c r="B207" s="8"/>
      <c r="C207" s="9"/>
      <c r="D207" s="8"/>
      <c r="E207" s="8"/>
      <c r="F207" s="8"/>
      <c r="G207" s="8"/>
      <c r="H207" s="8"/>
      <c r="I207" s="9"/>
      <c r="J207" s="11" t="str">
        <f aca="false">IF(OR(I207="",C207=""),"",(I207-C207)/C207)</f>
        <v/>
      </c>
      <c r="K207" s="8" t="str">
        <f aca="false">IF(J207="","",IF(J207&gt;0,"涨",IF(J207&lt;0,"跌","平")))</f>
        <v/>
      </c>
      <c r="L207" s="8" t="str">
        <f aca="false">IF(J207="","",IF(ABS(J207)&lt;=0.003,"小",IF(ABS(J207)&lt;=0.01,"中","大")))</f>
        <v/>
      </c>
      <c r="M207" s="8" t="str">
        <f aca="false">IF(OR(D207="",K207=""),"",IF(D207=K207,"√","×"))</f>
        <v/>
      </c>
      <c r="N207" s="8" t="str">
        <f aca="false">IF(OR(E207="",L207=""),"",IF(E207=L207,"√","×"))</f>
        <v/>
      </c>
      <c r="O207" s="8"/>
      <c r="P207" s="8"/>
      <c r="Q207" s="8"/>
    </row>
    <row r="208" customFormat="false" ht="15" hidden="false" customHeight="true" outlineLevel="0" collapsed="false">
      <c r="A208" s="4"/>
      <c r="B208" s="4"/>
      <c r="C208" s="5"/>
      <c r="D208" s="4"/>
      <c r="E208" s="4"/>
      <c r="F208" s="4"/>
      <c r="G208" s="4"/>
      <c r="H208" s="4"/>
      <c r="I208" s="5"/>
      <c r="J208" s="7" t="str">
        <f aca="false">IF(OR(I208="",C208=""),"",(I208-C208)/C208)</f>
        <v/>
      </c>
      <c r="K208" s="4" t="str">
        <f aca="false">IF(J208="","",IF(J208&gt;0,"涨",IF(J208&lt;0,"跌","平")))</f>
        <v/>
      </c>
      <c r="L208" s="4" t="str">
        <f aca="false">IF(J208="","",IF(ABS(J208)&lt;=0.003,"小",IF(ABS(J208)&lt;=0.01,"中","大")))</f>
        <v/>
      </c>
      <c r="M208" s="4" t="str">
        <f aca="false">IF(OR(D208="",K208=""),"",IF(D208=K208,"√","×"))</f>
        <v/>
      </c>
      <c r="N208" s="4" t="str">
        <f aca="false">IF(OR(E208="",L208=""),"",IF(E208=L208,"√","×"))</f>
        <v/>
      </c>
      <c r="O208" s="4"/>
      <c r="P208" s="4"/>
      <c r="Q208" s="4"/>
    </row>
    <row r="209" customFormat="false" ht="15" hidden="false" customHeight="true" outlineLevel="0" collapsed="false">
      <c r="A209" s="8"/>
      <c r="B209" s="8"/>
      <c r="C209" s="9"/>
      <c r="D209" s="8"/>
      <c r="E209" s="8"/>
      <c r="F209" s="8"/>
      <c r="G209" s="8"/>
      <c r="H209" s="8"/>
      <c r="I209" s="9"/>
      <c r="J209" s="11" t="str">
        <f aca="false">IF(OR(I209="",C209=""),"",(I209-C209)/C209)</f>
        <v/>
      </c>
      <c r="K209" s="8" t="str">
        <f aca="false">IF(J209="","",IF(J209&gt;0,"涨",IF(J209&lt;0,"跌","平")))</f>
        <v/>
      </c>
      <c r="L209" s="8" t="str">
        <f aca="false">IF(J209="","",IF(ABS(J209)&lt;=0.003,"小",IF(ABS(J209)&lt;=0.01,"中","大")))</f>
        <v/>
      </c>
      <c r="M209" s="8" t="str">
        <f aca="false">IF(OR(D209="",K209=""),"",IF(D209=K209,"√","×"))</f>
        <v/>
      </c>
      <c r="N209" s="8" t="str">
        <f aca="false">IF(OR(E209="",L209=""),"",IF(E209=L209,"√","×"))</f>
        <v/>
      </c>
      <c r="O209" s="8"/>
      <c r="P209" s="8"/>
      <c r="Q209" s="8"/>
    </row>
    <row r="210" customFormat="false" ht="15" hidden="false" customHeight="true" outlineLevel="0" collapsed="false">
      <c r="A210" s="4"/>
      <c r="B210" s="4"/>
      <c r="C210" s="5"/>
      <c r="D210" s="4"/>
      <c r="E210" s="4"/>
      <c r="F210" s="4"/>
      <c r="G210" s="4"/>
      <c r="H210" s="4"/>
      <c r="I210" s="5"/>
      <c r="J210" s="7" t="str">
        <f aca="false">IF(OR(I210="",C210=""),"",(I210-C210)/C210)</f>
        <v/>
      </c>
      <c r="K210" s="4" t="str">
        <f aca="false">IF(J210="","",IF(J210&gt;0,"涨",IF(J210&lt;0,"跌","平")))</f>
        <v/>
      </c>
      <c r="L210" s="4" t="str">
        <f aca="false">IF(J210="","",IF(ABS(J210)&lt;=0.003,"小",IF(ABS(J210)&lt;=0.01,"中","大")))</f>
        <v/>
      </c>
      <c r="M210" s="4" t="str">
        <f aca="false">IF(OR(D210="",K210=""),"",IF(D210=K210,"√","×"))</f>
        <v/>
      </c>
      <c r="N210" s="4" t="str">
        <f aca="false">IF(OR(E210="",L210=""),"",IF(E210=L210,"√","×"))</f>
        <v/>
      </c>
      <c r="O210" s="4"/>
      <c r="P210" s="4"/>
      <c r="Q210" s="4"/>
    </row>
    <row r="211" customFormat="false" ht="15" hidden="false" customHeight="true" outlineLevel="0" collapsed="false">
      <c r="A211" s="8"/>
      <c r="B211" s="8"/>
      <c r="C211" s="9"/>
      <c r="D211" s="8"/>
      <c r="E211" s="8"/>
      <c r="F211" s="8"/>
      <c r="G211" s="8"/>
      <c r="H211" s="8"/>
      <c r="I211" s="9"/>
      <c r="J211" s="11" t="str">
        <f aca="false">IF(OR(I211="",C211=""),"",(I211-C211)/C211)</f>
        <v/>
      </c>
      <c r="K211" s="8" t="str">
        <f aca="false">IF(J211="","",IF(J211&gt;0,"涨",IF(J211&lt;0,"跌","平")))</f>
        <v/>
      </c>
      <c r="L211" s="8" t="str">
        <f aca="false">IF(J211="","",IF(ABS(J211)&lt;=0.003,"小",IF(ABS(J211)&lt;=0.01,"中","大")))</f>
        <v/>
      </c>
      <c r="M211" s="8" t="str">
        <f aca="false">IF(OR(D211="",K211=""),"",IF(D211=K211,"√","×"))</f>
        <v/>
      </c>
      <c r="N211" s="8" t="str">
        <f aca="false">IF(OR(E211="",L211=""),"",IF(E211=L211,"√","×"))</f>
        <v/>
      </c>
      <c r="O211" s="8"/>
      <c r="P211" s="8"/>
      <c r="Q211" s="8"/>
    </row>
    <row r="212" customFormat="false" ht="15" hidden="false" customHeight="true" outlineLevel="0" collapsed="false">
      <c r="A212" s="4"/>
      <c r="B212" s="4"/>
      <c r="C212" s="5"/>
      <c r="D212" s="4"/>
      <c r="E212" s="4"/>
      <c r="F212" s="4"/>
      <c r="G212" s="4"/>
      <c r="H212" s="4"/>
      <c r="I212" s="5"/>
      <c r="J212" s="7" t="str">
        <f aca="false">IF(OR(I212="",C212=""),"",(I212-C212)/C212)</f>
        <v/>
      </c>
      <c r="K212" s="4" t="str">
        <f aca="false">IF(J212="","",IF(J212&gt;0,"涨",IF(J212&lt;0,"跌","平")))</f>
        <v/>
      </c>
      <c r="L212" s="4" t="str">
        <f aca="false">IF(J212="","",IF(ABS(J212)&lt;=0.003,"小",IF(ABS(J212)&lt;=0.01,"中","大")))</f>
        <v/>
      </c>
      <c r="M212" s="4" t="str">
        <f aca="false">IF(OR(D212="",K212=""),"",IF(D212=K212,"√","×"))</f>
        <v/>
      </c>
      <c r="N212" s="4" t="str">
        <f aca="false">IF(OR(E212="",L212=""),"",IF(E212=L212,"√","×"))</f>
        <v/>
      </c>
      <c r="O212" s="4"/>
      <c r="P212" s="4"/>
      <c r="Q212" s="4"/>
    </row>
    <row r="213" customFormat="false" ht="15" hidden="false" customHeight="true" outlineLevel="0" collapsed="false">
      <c r="A213" s="8"/>
      <c r="B213" s="8"/>
      <c r="C213" s="9"/>
      <c r="D213" s="8"/>
      <c r="E213" s="8"/>
      <c r="F213" s="8"/>
      <c r="G213" s="8"/>
      <c r="H213" s="8"/>
      <c r="I213" s="9"/>
      <c r="J213" s="11" t="str">
        <f aca="false">IF(OR(I213="",C213=""),"",(I213-C213)/C213)</f>
        <v/>
      </c>
      <c r="K213" s="8" t="str">
        <f aca="false">IF(J213="","",IF(J213&gt;0,"涨",IF(J213&lt;0,"跌","平")))</f>
        <v/>
      </c>
      <c r="L213" s="8" t="str">
        <f aca="false">IF(J213="","",IF(ABS(J213)&lt;=0.003,"小",IF(ABS(J213)&lt;=0.01,"中","大")))</f>
        <v/>
      </c>
      <c r="M213" s="8" t="str">
        <f aca="false">IF(OR(D213="",K213=""),"",IF(D213=K213,"√","×"))</f>
        <v/>
      </c>
      <c r="N213" s="8" t="str">
        <f aca="false">IF(OR(E213="",L213=""),"",IF(E213=L213,"√","×"))</f>
        <v/>
      </c>
      <c r="O213" s="8"/>
      <c r="P213" s="8"/>
      <c r="Q213" s="8"/>
    </row>
    <row r="214" customFormat="false" ht="15" hidden="false" customHeight="true" outlineLevel="0" collapsed="false">
      <c r="A214" s="4"/>
      <c r="B214" s="4"/>
      <c r="C214" s="5"/>
      <c r="D214" s="4"/>
      <c r="E214" s="4"/>
      <c r="F214" s="4"/>
      <c r="G214" s="4"/>
      <c r="H214" s="4"/>
      <c r="I214" s="5"/>
      <c r="J214" s="7" t="str">
        <f aca="false">IF(OR(I214="",C214=""),"",(I214-C214)/C214)</f>
        <v/>
      </c>
      <c r="K214" s="4" t="str">
        <f aca="false">IF(J214="","",IF(J214&gt;0,"涨",IF(J214&lt;0,"跌","平")))</f>
        <v/>
      </c>
      <c r="L214" s="4" t="str">
        <f aca="false">IF(J214="","",IF(ABS(J214)&lt;=0.003,"小",IF(ABS(J214)&lt;=0.01,"中","大")))</f>
        <v/>
      </c>
      <c r="M214" s="4" t="str">
        <f aca="false">IF(OR(D214="",K214=""),"",IF(D214=K214,"√","×"))</f>
        <v/>
      </c>
      <c r="N214" s="4" t="str">
        <f aca="false">IF(OR(E214="",L214=""),"",IF(E214=L214,"√","×"))</f>
        <v/>
      </c>
      <c r="O214" s="4"/>
      <c r="P214" s="4"/>
      <c r="Q214" s="4"/>
    </row>
    <row r="215" customFormat="false" ht="15" hidden="false" customHeight="true" outlineLevel="0" collapsed="false">
      <c r="A215" s="8"/>
      <c r="B215" s="8"/>
      <c r="C215" s="9"/>
      <c r="D215" s="8"/>
      <c r="E215" s="8"/>
      <c r="F215" s="8"/>
      <c r="G215" s="8"/>
      <c r="H215" s="8"/>
      <c r="I215" s="9"/>
      <c r="J215" s="11" t="str">
        <f aca="false">IF(OR(I215="",C215=""),"",(I215-C215)/C215)</f>
        <v/>
      </c>
      <c r="K215" s="8" t="str">
        <f aca="false">IF(J215="","",IF(J215&gt;0,"涨",IF(J215&lt;0,"跌","平")))</f>
        <v/>
      </c>
      <c r="L215" s="8" t="str">
        <f aca="false">IF(J215="","",IF(ABS(J215)&lt;=0.003,"小",IF(ABS(J215)&lt;=0.01,"中","大")))</f>
        <v/>
      </c>
      <c r="M215" s="8" t="str">
        <f aca="false">IF(OR(D215="",K215=""),"",IF(D215=K215,"√","×"))</f>
        <v/>
      </c>
      <c r="N215" s="8" t="str">
        <f aca="false">IF(OR(E215="",L215=""),"",IF(E215=L215,"√","×"))</f>
        <v/>
      </c>
      <c r="O215" s="8"/>
      <c r="P215" s="8"/>
      <c r="Q215" s="8"/>
    </row>
    <row r="216" customFormat="false" ht="15" hidden="false" customHeight="true" outlineLevel="0" collapsed="false">
      <c r="A216" s="4"/>
      <c r="B216" s="4"/>
      <c r="C216" s="5"/>
      <c r="D216" s="4"/>
      <c r="E216" s="4"/>
      <c r="F216" s="4"/>
      <c r="G216" s="4"/>
      <c r="H216" s="4"/>
      <c r="I216" s="5"/>
      <c r="J216" s="7" t="str">
        <f aca="false">IF(OR(I216="",C216=""),"",(I216-C216)/C216)</f>
        <v/>
      </c>
      <c r="K216" s="4" t="str">
        <f aca="false">IF(J216="","",IF(J216&gt;0,"涨",IF(J216&lt;0,"跌","平")))</f>
        <v/>
      </c>
      <c r="L216" s="4" t="str">
        <f aca="false">IF(J216="","",IF(ABS(J216)&lt;=0.003,"小",IF(ABS(J216)&lt;=0.01,"中","大")))</f>
        <v/>
      </c>
      <c r="M216" s="4" t="str">
        <f aca="false">IF(OR(D216="",K216=""),"",IF(D216=K216,"√","×"))</f>
        <v/>
      </c>
      <c r="N216" s="4" t="str">
        <f aca="false">IF(OR(E216="",L216=""),"",IF(E216=L216,"√","×"))</f>
        <v/>
      </c>
      <c r="O216" s="4"/>
      <c r="P216" s="4"/>
      <c r="Q216" s="4"/>
    </row>
    <row r="217" customFormat="false" ht="15" hidden="false" customHeight="true" outlineLevel="0" collapsed="false">
      <c r="A217" s="8"/>
      <c r="B217" s="8"/>
      <c r="C217" s="9"/>
      <c r="D217" s="8"/>
      <c r="E217" s="8"/>
      <c r="F217" s="8"/>
      <c r="G217" s="8"/>
      <c r="H217" s="8"/>
      <c r="I217" s="9"/>
      <c r="J217" s="11" t="str">
        <f aca="false">IF(OR(I217="",C217=""),"",(I217-C217)/C217)</f>
        <v/>
      </c>
      <c r="K217" s="8" t="str">
        <f aca="false">IF(J217="","",IF(J217&gt;0,"涨",IF(J217&lt;0,"跌","平")))</f>
        <v/>
      </c>
      <c r="L217" s="8" t="str">
        <f aca="false">IF(J217="","",IF(ABS(J217)&lt;=0.003,"小",IF(ABS(J217)&lt;=0.01,"中","大")))</f>
        <v/>
      </c>
      <c r="M217" s="8" t="str">
        <f aca="false">IF(OR(D217="",K217=""),"",IF(D217=K217,"√","×"))</f>
        <v/>
      </c>
      <c r="N217" s="8" t="str">
        <f aca="false">IF(OR(E217="",L217=""),"",IF(E217=L217,"√","×"))</f>
        <v/>
      </c>
      <c r="O217" s="8"/>
      <c r="P217" s="8"/>
      <c r="Q217" s="8"/>
    </row>
    <row r="218" customFormat="false" ht="15" hidden="false" customHeight="true" outlineLevel="0" collapsed="false">
      <c r="A218" s="4"/>
      <c r="B218" s="4"/>
      <c r="C218" s="5"/>
      <c r="D218" s="4"/>
      <c r="E218" s="4"/>
      <c r="F218" s="4"/>
      <c r="G218" s="4"/>
      <c r="H218" s="4"/>
      <c r="I218" s="5"/>
      <c r="J218" s="7" t="str">
        <f aca="false">IF(OR(I218="",C218=""),"",(I218-C218)/C218)</f>
        <v/>
      </c>
      <c r="K218" s="4" t="str">
        <f aca="false">IF(J218="","",IF(J218&gt;0,"涨",IF(J218&lt;0,"跌","平")))</f>
        <v/>
      </c>
      <c r="L218" s="4" t="str">
        <f aca="false">IF(J218="","",IF(ABS(J218)&lt;=0.003,"小",IF(ABS(J218)&lt;=0.01,"中","大")))</f>
        <v/>
      </c>
      <c r="M218" s="4" t="str">
        <f aca="false">IF(OR(D218="",K218=""),"",IF(D218=K218,"√","×"))</f>
        <v/>
      </c>
      <c r="N218" s="4" t="str">
        <f aca="false">IF(OR(E218="",L218=""),"",IF(E218=L218,"√","×"))</f>
        <v/>
      </c>
      <c r="O218" s="4"/>
      <c r="P218" s="4"/>
      <c r="Q218" s="4"/>
    </row>
    <row r="219" customFormat="false" ht="15" hidden="false" customHeight="true" outlineLevel="0" collapsed="false">
      <c r="A219" s="8"/>
      <c r="B219" s="8"/>
      <c r="C219" s="9"/>
      <c r="D219" s="8"/>
      <c r="E219" s="8"/>
      <c r="F219" s="8"/>
      <c r="G219" s="8"/>
      <c r="H219" s="8"/>
      <c r="I219" s="9"/>
      <c r="J219" s="11" t="str">
        <f aca="false">IF(OR(I219="",C219=""),"",(I219-C219)/C219)</f>
        <v/>
      </c>
      <c r="K219" s="8" t="str">
        <f aca="false">IF(J219="","",IF(J219&gt;0,"涨",IF(J219&lt;0,"跌","平")))</f>
        <v/>
      </c>
      <c r="L219" s="8" t="str">
        <f aca="false">IF(J219="","",IF(ABS(J219)&lt;=0.003,"小",IF(ABS(J219)&lt;=0.01,"中","大")))</f>
        <v/>
      </c>
      <c r="M219" s="8" t="str">
        <f aca="false">IF(OR(D219="",K219=""),"",IF(D219=K219,"√","×"))</f>
        <v/>
      </c>
      <c r="N219" s="8" t="str">
        <f aca="false">IF(OR(E219="",L219=""),"",IF(E219=L219,"√","×"))</f>
        <v/>
      </c>
      <c r="O219" s="8"/>
      <c r="P219" s="8"/>
      <c r="Q219" s="8"/>
    </row>
    <row r="220" customFormat="false" ht="15" hidden="false" customHeight="true" outlineLevel="0" collapsed="false">
      <c r="A220" s="4"/>
      <c r="B220" s="4"/>
      <c r="C220" s="5"/>
      <c r="D220" s="4"/>
      <c r="E220" s="4"/>
      <c r="F220" s="4"/>
      <c r="G220" s="4"/>
      <c r="H220" s="4"/>
      <c r="I220" s="5"/>
      <c r="J220" s="7" t="str">
        <f aca="false">IF(OR(I220="",C220=""),"",(I220-C220)/C220)</f>
        <v/>
      </c>
      <c r="K220" s="4" t="str">
        <f aca="false">IF(J220="","",IF(J220&gt;0,"涨",IF(J220&lt;0,"跌","平")))</f>
        <v/>
      </c>
      <c r="L220" s="4" t="str">
        <f aca="false">IF(J220="","",IF(ABS(J220)&lt;=0.003,"小",IF(ABS(J220)&lt;=0.01,"中","大")))</f>
        <v/>
      </c>
      <c r="M220" s="4" t="str">
        <f aca="false">IF(OR(D220="",K220=""),"",IF(D220=K220,"√","×"))</f>
        <v/>
      </c>
      <c r="N220" s="4" t="str">
        <f aca="false">IF(OR(E220="",L220=""),"",IF(E220=L220,"√","×"))</f>
        <v/>
      </c>
      <c r="O220" s="4"/>
      <c r="P220" s="4"/>
      <c r="Q220" s="4"/>
    </row>
    <row r="221" customFormat="false" ht="15" hidden="false" customHeight="true" outlineLevel="0" collapsed="false">
      <c r="A221" s="8"/>
      <c r="B221" s="8"/>
      <c r="C221" s="9"/>
      <c r="D221" s="8"/>
      <c r="E221" s="8"/>
      <c r="F221" s="8"/>
      <c r="G221" s="8"/>
      <c r="H221" s="8"/>
      <c r="I221" s="9"/>
      <c r="J221" s="11" t="str">
        <f aca="false">IF(OR(I221="",C221=""),"",(I221-C221)/C221)</f>
        <v/>
      </c>
      <c r="K221" s="8" t="str">
        <f aca="false">IF(J221="","",IF(J221&gt;0,"涨",IF(J221&lt;0,"跌","平")))</f>
        <v/>
      </c>
      <c r="L221" s="8" t="str">
        <f aca="false">IF(J221="","",IF(ABS(J221)&lt;=0.003,"小",IF(ABS(J221)&lt;=0.01,"中","大")))</f>
        <v/>
      </c>
      <c r="M221" s="8" t="str">
        <f aca="false">IF(OR(D221="",K221=""),"",IF(D221=K221,"√","×"))</f>
        <v/>
      </c>
      <c r="N221" s="8" t="str">
        <f aca="false">IF(OR(E221="",L221=""),"",IF(E221=L221,"√","×"))</f>
        <v/>
      </c>
      <c r="O221" s="8"/>
      <c r="P221" s="8"/>
      <c r="Q221" s="8"/>
    </row>
    <row r="222" customFormat="false" ht="15" hidden="false" customHeight="true" outlineLevel="0" collapsed="false">
      <c r="A222" s="4"/>
      <c r="B222" s="4"/>
      <c r="C222" s="5"/>
      <c r="D222" s="4"/>
      <c r="E222" s="4"/>
      <c r="F222" s="4"/>
      <c r="G222" s="4"/>
      <c r="H222" s="4"/>
      <c r="I222" s="5"/>
      <c r="J222" s="7" t="str">
        <f aca="false">IF(OR(I222="",C222=""),"",(I222-C222)/C222)</f>
        <v/>
      </c>
      <c r="K222" s="4" t="str">
        <f aca="false">IF(J222="","",IF(J222&gt;0,"涨",IF(J222&lt;0,"跌","平")))</f>
        <v/>
      </c>
      <c r="L222" s="4" t="str">
        <f aca="false">IF(J222="","",IF(ABS(J222)&lt;=0.003,"小",IF(ABS(J222)&lt;=0.01,"中","大")))</f>
        <v/>
      </c>
      <c r="M222" s="4" t="str">
        <f aca="false">IF(OR(D222="",K222=""),"",IF(D222=K222,"√","×"))</f>
        <v/>
      </c>
      <c r="N222" s="4" t="str">
        <f aca="false">IF(OR(E222="",L222=""),"",IF(E222=L222,"√","×"))</f>
        <v/>
      </c>
      <c r="O222" s="4"/>
      <c r="P222" s="4"/>
      <c r="Q222" s="4"/>
    </row>
    <row r="223" customFormat="false" ht="15" hidden="false" customHeight="true" outlineLevel="0" collapsed="false">
      <c r="A223" s="8"/>
      <c r="B223" s="8"/>
      <c r="C223" s="9"/>
      <c r="D223" s="8"/>
      <c r="E223" s="8"/>
      <c r="F223" s="8"/>
      <c r="G223" s="8"/>
      <c r="H223" s="8"/>
      <c r="I223" s="9"/>
      <c r="J223" s="11" t="str">
        <f aca="false">IF(OR(I223="",C223=""),"",(I223-C223)/C223)</f>
        <v/>
      </c>
      <c r="K223" s="8" t="str">
        <f aca="false">IF(J223="","",IF(J223&gt;0,"涨",IF(J223&lt;0,"跌","平")))</f>
        <v/>
      </c>
      <c r="L223" s="8" t="str">
        <f aca="false">IF(J223="","",IF(ABS(J223)&lt;=0.003,"小",IF(ABS(J223)&lt;=0.01,"中","大")))</f>
        <v/>
      </c>
      <c r="M223" s="8" t="str">
        <f aca="false">IF(OR(D223="",K223=""),"",IF(D223=K223,"√","×"))</f>
        <v/>
      </c>
      <c r="N223" s="8" t="str">
        <f aca="false">IF(OR(E223="",L223=""),"",IF(E223=L223,"√","×"))</f>
        <v/>
      </c>
      <c r="O223" s="8"/>
      <c r="P223" s="8"/>
      <c r="Q223" s="8"/>
    </row>
    <row r="224" customFormat="false" ht="15" hidden="false" customHeight="true" outlineLevel="0" collapsed="false">
      <c r="A224" s="4"/>
      <c r="B224" s="4"/>
      <c r="C224" s="5"/>
      <c r="D224" s="4"/>
      <c r="E224" s="4"/>
      <c r="F224" s="4"/>
      <c r="G224" s="4"/>
      <c r="H224" s="4"/>
      <c r="I224" s="5"/>
      <c r="J224" s="7" t="str">
        <f aca="false">IF(OR(I224="",C224=""),"",(I224-C224)/C224)</f>
        <v/>
      </c>
      <c r="K224" s="4" t="str">
        <f aca="false">IF(J224="","",IF(J224&gt;0,"涨",IF(J224&lt;0,"跌","平")))</f>
        <v/>
      </c>
      <c r="L224" s="4" t="str">
        <f aca="false">IF(J224="","",IF(ABS(J224)&lt;=0.003,"小",IF(ABS(J224)&lt;=0.01,"中","大")))</f>
        <v/>
      </c>
      <c r="M224" s="4" t="str">
        <f aca="false">IF(OR(D224="",K224=""),"",IF(D224=K224,"√","×"))</f>
        <v/>
      </c>
      <c r="N224" s="4" t="str">
        <f aca="false">IF(OR(E224="",L224=""),"",IF(E224=L224,"√","×"))</f>
        <v/>
      </c>
      <c r="O224" s="4"/>
      <c r="P224" s="4"/>
      <c r="Q224" s="4"/>
    </row>
    <row r="225" customFormat="false" ht="15" hidden="false" customHeight="true" outlineLevel="0" collapsed="false">
      <c r="A225" s="8"/>
      <c r="B225" s="8"/>
      <c r="C225" s="9"/>
      <c r="D225" s="8"/>
      <c r="E225" s="8"/>
      <c r="F225" s="8"/>
      <c r="G225" s="8"/>
      <c r="H225" s="8"/>
      <c r="I225" s="9"/>
      <c r="J225" s="11" t="str">
        <f aca="false">IF(OR(I225="",C225=""),"",(I225-C225)/C225)</f>
        <v/>
      </c>
      <c r="K225" s="8" t="str">
        <f aca="false">IF(J225="","",IF(J225&gt;0,"涨",IF(J225&lt;0,"跌","平")))</f>
        <v/>
      </c>
      <c r="L225" s="8" t="str">
        <f aca="false">IF(J225="","",IF(ABS(J225)&lt;=0.003,"小",IF(ABS(J225)&lt;=0.01,"中","大")))</f>
        <v/>
      </c>
      <c r="M225" s="8" t="str">
        <f aca="false">IF(OR(D225="",K225=""),"",IF(D225=K225,"√","×"))</f>
        <v/>
      </c>
      <c r="N225" s="8" t="str">
        <f aca="false">IF(OR(E225="",L225=""),"",IF(E225=L225,"√","×"))</f>
        <v/>
      </c>
      <c r="O225" s="8"/>
      <c r="P225" s="8"/>
      <c r="Q225" s="8"/>
    </row>
    <row r="226" customFormat="false" ht="15" hidden="false" customHeight="true" outlineLevel="0" collapsed="false">
      <c r="A226" s="4"/>
      <c r="B226" s="4"/>
      <c r="C226" s="5"/>
      <c r="D226" s="4"/>
      <c r="E226" s="4"/>
      <c r="F226" s="4"/>
      <c r="G226" s="4"/>
      <c r="H226" s="4"/>
      <c r="I226" s="5"/>
      <c r="J226" s="7" t="str">
        <f aca="false">IF(OR(I226="",C226=""),"",(I226-C226)/C226)</f>
        <v/>
      </c>
      <c r="K226" s="4" t="str">
        <f aca="false">IF(J226="","",IF(J226&gt;0,"涨",IF(J226&lt;0,"跌","平")))</f>
        <v/>
      </c>
      <c r="L226" s="4" t="str">
        <f aca="false">IF(J226="","",IF(ABS(J226)&lt;=0.003,"小",IF(ABS(J226)&lt;=0.01,"中","大")))</f>
        <v/>
      </c>
      <c r="M226" s="4" t="str">
        <f aca="false">IF(OR(D226="",K226=""),"",IF(D226=K226,"√","×"))</f>
        <v/>
      </c>
      <c r="N226" s="4" t="str">
        <f aca="false">IF(OR(E226="",L226=""),"",IF(E226=L226,"√","×"))</f>
        <v/>
      </c>
      <c r="O226" s="4"/>
      <c r="P226" s="4"/>
      <c r="Q226" s="4"/>
    </row>
    <row r="227" customFormat="false" ht="15" hidden="false" customHeight="true" outlineLevel="0" collapsed="false">
      <c r="A227" s="8"/>
      <c r="B227" s="8"/>
      <c r="C227" s="9"/>
      <c r="D227" s="8"/>
      <c r="E227" s="8"/>
      <c r="F227" s="8"/>
      <c r="G227" s="8"/>
      <c r="H227" s="8"/>
      <c r="I227" s="9"/>
      <c r="J227" s="11" t="str">
        <f aca="false">IF(OR(I227="",C227=""),"",(I227-C227)/C227)</f>
        <v/>
      </c>
      <c r="K227" s="8" t="str">
        <f aca="false">IF(J227="","",IF(J227&gt;0,"涨",IF(J227&lt;0,"跌","平")))</f>
        <v/>
      </c>
      <c r="L227" s="8" t="str">
        <f aca="false">IF(J227="","",IF(ABS(J227)&lt;=0.003,"小",IF(ABS(J227)&lt;=0.01,"中","大")))</f>
        <v/>
      </c>
      <c r="M227" s="8" t="str">
        <f aca="false">IF(OR(D227="",K227=""),"",IF(D227=K227,"√","×"))</f>
        <v/>
      </c>
      <c r="N227" s="8" t="str">
        <f aca="false">IF(OR(E227="",L227=""),"",IF(E227=L227,"√","×"))</f>
        <v/>
      </c>
      <c r="O227" s="8"/>
      <c r="P227" s="8"/>
      <c r="Q227" s="8"/>
    </row>
    <row r="228" customFormat="false" ht="15" hidden="false" customHeight="true" outlineLevel="0" collapsed="false">
      <c r="A228" s="4"/>
      <c r="B228" s="4"/>
      <c r="C228" s="5"/>
      <c r="D228" s="4"/>
      <c r="E228" s="4"/>
      <c r="F228" s="4"/>
      <c r="G228" s="4"/>
      <c r="H228" s="4"/>
      <c r="I228" s="5"/>
      <c r="J228" s="7" t="str">
        <f aca="false">IF(OR(I228="",C228=""),"",(I228-C228)/C228)</f>
        <v/>
      </c>
      <c r="K228" s="4" t="str">
        <f aca="false">IF(J228="","",IF(J228&gt;0,"涨",IF(J228&lt;0,"跌","平")))</f>
        <v/>
      </c>
      <c r="L228" s="4" t="str">
        <f aca="false">IF(J228="","",IF(ABS(J228)&lt;=0.003,"小",IF(ABS(J228)&lt;=0.01,"中","大")))</f>
        <v/>
      </c>
      <c r="M228" s="4" t="str">
        <f aca="false">IF(OR(D228="",K228=""),"",IF(D228=K228,"√","×"))</f>
        <v/>
      </c>
      <c r="N228" s="4" t="str">
        <f aca="false">IF(OR(E228="",L228=""),"",IF(E228=L228,"√","×"))</f>
        <v/>
      </c>
      <c r="O228" s="4"/>
      <c r="P228" s="4"/>
      <c r="Q228" s="4"/>
    </row>
    <row r="229" customFormat="false" ht="15" hidden="false" customHeight="true" outlineLevel="0" collapsed="false">
      <c r="A229" s="8"/>
      <c r="B229" s="8"/>
      <c r="C229" s="9"/>
      <c r="D229" s="8"/>
      <c r="E229" s="8"/>
      <c r="F229" s="8"/>
      <c r="G229" s="8"/>
      <c r="H229" s="8"/>
      <c r="I229" s="9"/>
      <c r="J229" s="11" t="str">
        <f aca="false">IF(OR(I229="",C229=""),"",(I229-C229)/C229)</f>
        <v/>
      </c>
      <c r="K229" s="8" t="str">
        <f aca="false">IF(J229="","",IF(J229&gt;0,"涨",IF(J229&lt;0,"跌","平")))</f>
        <v/>
      </c>
      <c r="L229" s="8" t="str">
        <f aca="false">IF(J229="","",IF(ABS(J229)&lt;=0.003,"小",IF(ABS(J229)&lt;=0.01,"中","大")))</f>
        <v/>
      </c>
      <c r="M229" s="8" t="str">
        <f aca="false">IF(OR(D229="",K229=""),"",IF(D229=K229,"√","×"))</f>
        <v/>
      </c>
      <c r="N229" s="8" t="str">
        <f aca="false">IF(OR(E229="",L229=""),"",IF(E229=L229,"√","×"))</f>
        <v/>
      </c>
      <c r="O229" s="8"/>
      <c r="P229" s="8"/>
      <c r="Q229" s="8"/>
    </row>
    <row r="230" customFormat="false" ht="15" hidden="false" customHeight="true" outlineLevel="0" collapsed="false">
      <c r="A230" s="4"/>
      <c r="B230" s="4"/>
      <c r="C230" s="5"/>
      <c r="D230" s="4"/>
      <c r="E230" s="4"/>
      <c r="F230" s="4"/>
      <c r="G230" s="4"/>
      <c r="H230" s="4"/>
      <c r="I230" s="5"/>
      <c r="J230" s="7" t="str">
        <f aca="false">IF(OR(I230="",C230=""),"",(I230-C230)/C230)</f>
        <v/>
      </c>
      <c r="K230" s="4" t="str">
        <f aca="false">IF(J230="","",IF(J230&gt;0,"涨",IF(J230&lt;0,"跌","平")))</f>
        <v/>
      </c>
      <c r="L230" s="4" t="str">
        <f aca="false">IF(J230="","",IF(ABS(J230)&lt;=0.003,"小",IF(ABS(J230)&lt;=0.01,"中","大")))</f>
        <v/>
      </c>
      <c r="M230" s="4" t="str">
        <f aca="false">IF(OR(D230="",K230=""),"",IF(D230=K230,"√","×"))</f>
        <v/>
      </c>
      <c r="N230" s="4" t="str">
        <f aca="false">IF(OR(E230="",L230=""),"",IF(E230=L230,"√","×"))</f>
        <v/>
      </c>
      <c r="O230" s="4"/>
      <c r="P230" s="4"/>
      <c r="Q230" s="4"/>
    </row>
    <row r="231" customFormat="false" ht="15" hidden="false" customHeight="true" outlineLevel="0" collapsed="false">
      <c r="A231" s="8"/>
      <c r="B231" s="8"/>
      <c r="C231" s="9"/>
      <c r="D231" s="8"/>
      <c r="E231" s="8"/>
      <c r="F231" s="8"/>
      <c r="G231" s="8"/>
      <c r="H231" s="8"/>
      <c r="I231" s="9"/>
      <c r="J231" s="11" t="str">
        <f aca="false">IF(OR(I231="",C231=""),"",(I231-C231)/C231)</f>
        <v/>
      </c>
      <c r="K231" s="8" t="str">
        <f aca="false">IF(J231="","",IF(J231&gt;0,"涨",IF(J231&lt;0,"跌","平")))</f>
        <v/>
      </c>
      <c r="L231" s="8" t="str">
        <f aca="false">IF(J231="","",IF(ABS(J231)&lt;=0.003,"小",IF(ABS(J231)&lt;=0.01,"中","大")))</f>
        <v/>
      </c>
      <c r="M231" s="8" t="str">
        <f aca="false">IF(OR(D231="",K231=""),"",IF(D231=K231,"√","×"))</f>
        <v/>
      </c>
      <c r="N231" s="8" t="str">
        <f aca="false">IF(OR(E231="",L231=""),"",IF(E231=L231,"√","×"))</f>
        <v/>
      </c>
      <c r="O231" s="8"/>
      <c r="P231" s="8"/>
      <c r="Q231" s="8"/>
    </row>
    <row r="232" customFormat="false" ht="15" hidden="false" customHeight="true" outlineLevel="0" collapsed="false">
      <c r="A232" s="4"/>
      <c r="B232" s="4"/>
      <c r="C232" s="5"/>
      <c r="D232" s="4"/>
      <c r="E232" s="4"/>
      <c r="F232" s="4"/>
      <c r="G232" s="4"/>
      <c r="H232" s="4"/>
      <c r="I232" s="5"/>
      <c r="J232" s="7" t="str">
        <f aca="false">IF(OR(I232="",C232=""),"",(I232-C232)/C232)</f>
        <v/>
      </c>
      <c r="K232" s="4" t="str">
        <f aca="false">IF(J232="","",IF(J232&gt;0,"涨",IF(J232&lt;0,"跌","平")))</f>
        <v/>
      </c>
      <c r="L232" s="4" t="str">
        <f aca="false">IF(J232="","",IF(ABS(J232)&lt;=0.003,"小",IF(ABS(J232)&lt;=0.01,"中","大")))</f>
        <v/>
      </c>
      <c r="M232" s="4" t="str">
        <f aca="false">IF(OR(D232="",K232=""),"",IF(D232=K232,"√","×"))</f>
        <v/>
      </c>
      <c r="N232" s="4" t="str">
        <f aca="false">IF(OR(E232="",L232=""),"",IF(E232=L232,"√","×"))</f>
        <v/>
      </c>
      <c r="O232" s="4"/>
      <c r="P232" s="4"/>
      <c r="Q232" s="4"/>
    </row>
    <row r="233" customFormat="false" ht="15" hidden="false" customHeight="true" outlineLevel="0" collapsed="false">
      <c r="A233" s="8"/>
      <c r="B233" s="8"/>
      <c r="C233" s="9"/>
      <c r="D233" s="8"/>
      <c r="E233" s="8"/>
      <c r="F233" s="8"/>
      <c r="G233" s="8"/>
      <c r="H233" s="8"/>
      <c r="I233" s="9"/>
      <c r="J233" s="11" t="str">
        <f aca="false">IF(OR(I233="",C233=""),"",(I233-C233)/C233)</f>
        <v/>
      </c>
      <c r="K233" s="8" t="str">
        <f aca="false">IF(J233="","",IF(J233&gt;0,"涨",IF(J233&lt;0,"跌","平")))</f>
        <v/>
      </c>
      <c r="L233" s="8" t="str">
        <f aca="false">IF(J233="","",IF(ABS(J233)&lt;=0.003,"小",IF(ABS(J233)&lt;=0.01,"中","大")))</f>
        <v/>
      </c>
      <c r="M233" s="8" t="str">
        <f aca="false">IF(OR(D233="",K233=""),"",IF(D233=K233,"√","×"))</f>
        <v/>
      </c>
      <c r="N233" s="8" t="str">
        <f aca="false">IF(OR(E233="",L233=""),"",IF(E233=L233,"√","×"))</f>
        <v/>
      </c>
      <c r="O233" s="8"/>
      <c r="P233" s="8"/>
      <c r="Q233" s="8"/>
    </row>
    <row r="234" customFormat="false" ht="15" hidden="false" customHeight="true" outlineLevel="0" collapsed="false">
      <c r="A234" s="4"/>
      <c r="B234" s="4"/>
      <c r="C234" s="5"/>
      <c r="D234" s="4"/>
      <c r="E234" s="4"/>
      <c r="F234" s="4"/>
      <c r="G234" s="4"/>
      <c r="H234" s="4"/>
      <c r="I234" s="5"/>
      <c r="J234" s="7" t="str">
        <f aca="false">IF(OR(I234="",C234=""),"",(I234-C234)/C234)</f>
        <v/>
      </c>
      <c r="K234" s="4" t="str">
        <f aca="false">IF(J234="","",IF(J234&gt;0,"涨",IF(J234&lt;0,"跌","平")))</f>
        <v/>
      </c>
      <c r="L234" s="4" t="str">
        <f aca="false">IF(J234="","",IF(ABS(J234)&lt;=0.003,"小",IF(ABS(J234)&lt;=0.01,"中","大")))</f>
        <v/>
      </c>
      <c r="M234" s="4" t="str">
        <f aca="false">IF(OR(D234="",K234=""),"",IF(D234=K234,"√","×"))</f>
        <v/>
      </c>
      <c r="N234" s="4" t="str">
        <f aca="false">IF(OR(E234="",L234=""),"",IF(E234=L234,"√","×"))</f>
        <v/>
      </c>
      <c r="O234" s="4"/>
      <c r="P234" s="4"/>
      <c r="Q234" s="4"/>
    </row>
    <row r="235" customFormat="false" ht="15" hidden="false" customHeight="true" outlineLevel="0" collapsed="false">
      <c r="A235" s="8"/>
      <c r="B235" s="8"/>
      <c r="C235" s="9"/>
      <c r="D235" s="8"/>
      <c r="E235" s="8"/>
      <c r="F235" s="8"/>
      <c r="G235" s="8"/>
      <c r="H235" s="8"/>
      <c r="I235" s="9"/>
      <c r="J235" s="11" t="str">
        <f aca="false">IF(OR(I235="",C235=""),"",(I235-C235)/C235)</f>
        <v/>
      </c>
      <c r="K235" s="8" t="str">
        <f aca="false">IF(J235="","",IF(J235&gt;0,"涨",IF(J235&lt;0,"跌","平")))</f>
        <v/>
      </c>
      <c r="L235" s="8" t="str">
        <f aca="false">IF(J235="","",IF(ABS(J235)&lt;=0.003,"小",IF(ABS(J235)&lt;=0.01,"中","大")))</f>
        <v/>
      </c>
      <c r="M235" s="8" t="str">
        <f aca="false">IF(OR(D235="",K235=""),"",IF(D235=K235,"√","×"))</f>
        <v/>
      </c>
      <c r="N235" s="8" t="str">
        <f aca="false">IF(OR(E235="",L235=""),"",IF(E235=L235,"√","×"))</f>
        <v/>
      </c>
      <c r="O235" s="8"/>
      <c r="P235" s="8"/>
      <c r="Q235" s="8"/>
    </row>
    <row r="236" customFormat="false" ht="15" hidden="false" customHeight="true" outlineLevel="0" collapsed="false">
      <c r="A236" s="4"/>
      <c r="B236" s="4"/>
      <c r="C236" s="5"/>
      <c r="D236" s="4"/>
      <c r="E236" s="4"/>
      <c r="F236" s="4"/>
      <c r="G236" s="4"/>
      <c r="H236" s="4"/>
      <c r="I236" s="5"/>
      <c r="J236" s="7" t="str">
        <f aca="false">IF(OR(I236="",C236=""),"",(I236-C236)/C236)</f>
        <v/>
      </c>
      <c r="K236" s="4" t="str">
        <f aca="false">IF(J236="","",IF(J236&gt;0,"涨",IF(J236&lt;0,"跌","平")))</f>
        <v/>
      </c>
      <c r="L236" s="4" t="str">
        <f aca="false">IF(J236="","",IF(ABS(J236)&lt;=0.003,"小",IF(ABS(J236)&lt;=0.01,"中","大")))</f>
        <v/>
      </c>
      <c r="M236" s="4" t="str">
        <f aca="false">IF(OR(D236="",K236=""),"",IF(D236=K236,"√","×"))</f>
        <v/>
      </c>
      <c r="N236" s="4" t="str">
        <f aca="false">IF(OR(E236="",L236=""),"",IF(E236=L236,"√","×"))</f>
        <v/>
      </c>
      <c r="O236" s="4"/>
      <c r="P236" s="4"/>
      <c r="Q236" s="4"/>
    </row>
    <row r="237" customFormat="false" ht="15" hidden="false" customHeight="true" outlineLevel="0" collapsed="false">
      <c r="A237" s="8"/>
      <c r="B237" s="8"/>
      <c r="C237" s="9"/>
      <c r="D237" s="8"/>
      <c r="E237" s="8"/>
      <c r="F237" s="8"/>
      <c r="G237" s="8"/>
      <c r="H237" s="8"/>
      <c r="I237" s="9"/>
      <c r="J237" s="11" t="str">
        <f aca="false">IF(OR(I237="",C237=""),"",(I237-C237)/C237)</f>
        <v/>
      </c>
      <c r="K237" s="8" t="str">
        <f aca="false">IF(J237="","",IF(J237&gt;0,"涨",IF(J237&lt;0,"跌","平")))</f>
        <v/>
      </c>
      <c r="L237" s="8" t="str">
        <f aca="false">IF(J237="","",IF(ABS(J237)&lt;=0.003,"小",IF(ABS(J237)&lt;=0.01,"中","大")))</f>
        <v/>
      </c>
      <c r="M237" s="8" t="str">
        <f aca="false">IF(OR(D237="",K237=""),"",IF(D237=K237,"√","×"))</f>
        <v/>
      </c>
      <c r="N237" s="8" t="str">
        <f aca="false">IF(OR(E237="",L237=""),"",IF(E237=L237,"√","×"))</f>
        <v/>
      </c>
      <c r="O237" s="8"/>
      <c r="P237" s="8"/>
      <c r="Q237" s="8"/>
    </row>
    <row r="238" customFormat="false" ht="15" hidden="false" customHeight="true" outlineLevel="0" collapsed="false">
      <c r="A238" s="4"/>
      <c r="B238" s="4"/>
      <c r="C238" s="5"/>
      <c r="D238" s="4"/>
      <c r="E238" s="4"/>
      <c r="F238" s="4"/>
      <c r="G238" s="4"/>
      <c r="H238" s="4"/>
      <c r="I238" s="5"/>
      <c r="J238" s="7" t="str">
        <f aca="false">IF(OR(I238="",C238=""),"",(I238-C238)/C238)</f>
        <v/>
      </c>
      <c r="K238" s="4" t="str">
        <f aca="false">IF(J238="","",IF(J238&gt;0,"涨",IF(J238&lt;0,"跌","平")))</f>
        <v/>
      </c>
      <c r="L238" s="4" t="str">
        <f aca="false">IF(J238="","",IF(ABS(J238)&lt;=0.003,"小",IF(ABS(J238)&lt;=0.01,"中","大")))</f>
        <v/>
      </c>
      <c r="M238" s="4" t="str">
        <f aca="false">IF(OR(D238="",K238=""),"",IF(D238=K238,"√","×"))</f>
        <v/>
      </c>
      <c r="N238" s="4" t="str">
        <f aca="false">IF(OR(E238="",L238=""),"",IF(E238=L238,"√","×"))</f>
        <v/>
      </c>
      <c r="O238" s="4"/>
      <c r="P238" s="4"/>
      <c r="Q238" s="4"/>
    </row>
    <row r="239" customFormat="false" ht="15" hidden="false" customHeight="true" outlineLevel="0" collapsed="false">
      <c r="A239" s="8"/>
      <c r="B239" s="8"/>
      <c r="C239" s="9"/>
      <c r="D239" s="8"/>
      <c r="E239" s="8"/>
      <c r="F239" s="8"/>
      <c r="G239" s="8"/>
      <c r="H239" s="8"/>
      <c r="I239" s="9"/>
      <c r="J239" s="11" t="str">
        <f aca="false">IF(OR(I239="",C239=""),"",(I239-C239)/C239)</f>
        <v/>
      </c>
      <c r="K239" s="8" t="str">
        <f aca="false">IF(J239="","",IF(J239&gt;0,"涨",IF(J239&lt;0,"跌","平")))</f>
        <v/>
      </c>
      <c r="L239" s="8" t="str">
        <f aca="false">IF(J239="","",IF(ABS(J239)&lt;=0.003,"小",IF(ABS(J239)&lt;=0.01,"中","大")))</f>
        <v/>
      </c>
      <c r="M239" s="8" t="str">
        <f aca="false">IF(OR(D239="",K239=""),"",IF(D239=K239,"√","×"))</f>
        <v/>
      </c>
      <c r="N239" s="8" t="str">
        <f aca="false">IF(OR(E239="",L239=""),"",IF(E239=L239,"√","×"))</f>
        <v/>
      </c>
      <c r="O239" s="8"/>
      <c r="P239" s="8"/>
      <c r="Q239" s="8"/>
    </row>
    <row r="240" customFormat="false" ht="15" hidden="false" customHeight="true" outlineLevel="0" collapsed="false">
      <c r="A240" s="4"/>
      <c r="B240" s="4"/>
      <c r="C240" s="5"/>
      <c r="D240" s="4"/>
      <c r="E240" s="4"/>
      <c r="F240" s="4"/>
      <c r="G240" s="4"/>
      <c r="H240" s="4"/>
      <c r="I240" s="5"/>
      <c r="J240" s="7" t="str">
        <f aca="false">IF(OR(I240="",C240=""),"",(I240-C240)/C240)</f>
        <v/>
      </c>
      <c r="K240" s="4" t="str">
        <f aca="false">IF(J240="","",IF(J240&gt;0,"涨",IF(J240&lt;0,"跌","平")))</f>
        <v/>
      </c>
      <c r="L240" s="4" t="str">
        <f aca="false">IF(J240="","",IF(ABS(J240)&lt;=0.003,"小",IF(ABS(J240)&lt;=0.01,"中","大")))</f>
        <v/>
      </c>
      <c r="M240" s="4" t="str">
        <f aca="false">IF(OR(D240="",K240=""),"",IF(D240=K240,"√","×"))</f>
        <v/>
      </c>
      <c r="N240" s="4" t="str">
        <f aca="false">IF(OR(E240="",L240=""),"",IF(E240=L240,"√","×"))</f>
        <v/>
      </c>
      <c r="O240" s="4"/>
      <c r="P240" s="4"/>
      <c r="Q240" s="4"/>
    </row>
    <row r="241" customFormat="false" ht="15" hidden="false" customHeight="true" outlineLevel="0" collapsed="false">
      <c r="A241" s="8"/>
      <c r="B241" s="8"/>
      <c r="C241" s="9"/>
      <c r="D241" s="8"/>
      <c r="E241" s="8"/>
      <c r="F241" s="8"/>
      <c r="G241" s="8"/>
      <c r="H241" s="8"/>
      <c r="I241" s="9"/>
      <c r="J241" s="11" t="str">
        <f aca="false">IF(OR(I241="",C241=""),"",(I241-C241)/C241)</f>
        <v/>
      </c>
      <c r="K241" s="8" t="str">
        <f aca="false">IF(J241="","",IF(J241&gt;0,"涨",IF(J241&lt;0,"跌","平")))</f>
        <v/>
      </c>
      <c r="L241" s="8" t="str">
        <f aca="false">IF(J241="","",IF(ABS(J241)&lt;=0.003,"小",IF(ABS(J241)&lt;=0.01,"中","大")))</f>
        <v/>
      </c>
      <c r="M241" s="8" t="str">
        <f aca="false">IF(OR(D241="",K241=""),"",IF(D241=K241,"√","×"))</f>
        <v/>
      </c>
      <c r="N241" s="8" t="str">
        <f aca="false">IF(OR(E241="",L241=""),"",IF(E241=L241,"√","×"))</f>
        <v/>
      </c>
      <c r="O241" s="8"/>
      <c r="P241" s="8"/>
      <c r="Q241" s="8"/>
    </row>
    <row r="242" customFormat="false" ht="15" hidden="false" customHeight="true" outlineLevel="0" collapsed="false">
      <c r="A242" s="4"/>
      <c r="B242" s="4"/>
      <c r="C242" s="5"/>
      <c r="D242" s="4"/>
      <c r="E242" s="4"/>
      <c r="F242" s="4"/>
      <c r="G242" s="4"/>
      <c r="H242" s="4"/>
      <c r="I242" s="5"/>
      <c r="J242" s="7" t="str">
        <f aca="false">IF(OR(I242="",C242=""),"",(I242-C242)/C242)</f>
        <v/>
      </c>
      <c r="K242" s="4" t="str">
        <f aca="false">IF(J242="","",IF(J242&gt;0,"涨",IF(J242&lt;0,"跌","平")))</f>
        <v/>
      </c>
      <c r="L242" s="4" t="str">
        <f aca="false">IF(J242="","",IF(ABS(J242)&lt;=0.003,"小",IF(ABS(J242)&lt;=0.01,"中","大")))</f>
        <v/>
      </c>
      <c r="M242" s="4" t="str">
        <f aca="false">IF(OR(D242="",K242=""),"",IF(D242=K242,"√","×"))</f>
        <v/>
      </c>
      <c r="N242" s="4" t="str">
        <f aca="false">IF(OR(E242="",L242=""),"",IF(E242=L242,"√","×"))</f>
        <v/>
      </c>
      <c r="O242" s="4"/>
      <c r="P242" s="4"/>
      <c r="Q242" s="4"/>
    </row>
    <row r="243" customFormat="false" ht="15" hidden="false" customHeight="true" outlineLevel="0" collapsed="false">
      <c r="A243" s="8"/>
      <c r="B243" s="8"/>
      <c r="C243" s="9"/>
      <c r="D243" s="8"/>
      <c r="E243" s="8"/>
      <c r="F243" s="8"/>
      <c r="G243" s="8"/>
      <c r="H243" s="8"/>
      <c r="I243" s="9"/>
      <c r="J243" s="11" t="str">
        <f aca="false">IF(OR(I243="",C243=""),"",(I243-C243)/C243)</f>
        <v/>
      </c>
      <c r="K243" s="8" t="str">
        <f aca="false">IF(J243="","",IF(J243&gt;0,"涨",IF(J243&lt;0,"跌","平")))</f>
        <v/>
      </c>
      <c r="L243" s="8" t="str">
        <f aca="false">IF(J243="","",IF(ABS(J243)&lt;=0.003,"小",IF(ABS(J243)&lt;=0.01,"中","大")))</f>
        <v/>
      </c>
      <c r="M243" s="8" t="str">
        <f aca="false">IF(OR(D243="",K243=""),"",IF(D243=K243,"√","×"))</f>
        <v/>
      </c>
      <c r="N243" s="8" t="str">
        <f aca="false">IF(OR(E243="",L243=""),"",IF(E243=L243,"√","×"))</f>
        <v/>
      </c>
      <c r="O243" s="8"/>
      <c r="P243" s="8"/>
      <c r="Q243" s="8"/>
    </row>
    <row r="244" customFormat="false" ht="15" hidden="false" customHeight="true" outlineLevel="0" collapsed="false">
      <c r="A244" s="4"/>
      <c r="B244" s="4"/>
      <c r="C244" s="5"/>
      <c r="D244" s="4"/>
      <c r="E244" s="4"/>
      <c r="F244" s="4"/>
      <c r="G244" s="4"/>
      <c r="H244" s="4"/>
      <c r="I244" s="5"/>
      <c r="J244" s="7" t="str">
        <f aca="false">IF(OR(I244="",C244=""),"",(I244-C244)/C244)</f>
        <v/>
      </c>
      <c r="K244" s="4" t="str">
        <f aca="false">IF(J244="","",IF(J244&gt;0,"涨",IF(J244&lt;0,"跌","平")))</f>
        <v/>
      </c>
      <c r="L244" s="4" t="str">
        <f aca="false">IF(J244="","",IF(ABS(J244)&lt;=0.003,"小",IF(ABS(J244)&lt;=0.01,"中","大")))</f>
        <v/>
      </c>
      <c r="M244" s="4" t="str">
        <f aca="false">IF(OR(D244="",K244=""),"",IF(D244=K244,"√","×"))</f>
        <v/>
      </c>
      <c r="N244" s="4" t="str">
        <f aca="false">IF(OR(E244="",L244=""),"",IF(E244=L244,"√","×"))</f>
        <v/>
      </c>
      <c r="O244" s="4"/>
      <c r="P244" s="4"/>
      <c r="Q244" s="4"/>
    </row>
    <row r="245" customFormat="false" ht="15" hidden="false" customHeight="true" outlineLevel="0" collapsed="false">
      <c r="A245" s="8"/>
      <c r="B245" s="8"/>
      <c r="C245" s="9"/>
      <c r="D245" s="8"/>
      <c r="E245" s="8"/>
      <c r="F245" s="8"/>
      <c r="G245" s="8"/>
      <c r="H245" s="8"/>
      <c r="I245" s="9"/>
      <c r="J245" s="11" t="str">
        <f aca="false">IF(OR(I245="",C245=""),"",(I245-C245)/C245)</f>
        <v/>
      </c>
      <c r="K245" s="8" t="str">
        <f aca="false">IF(J245="","",IF(J245&gt;0,"涨",IF(J245&lt;0,"跌","平")))</f>
        <v/>
      </c>
      <c r="L245" s="8" t="str">
        <f aca="false">IF(J245="","",IF(ABS(J245)&lt;=0.003,"小",IF(ABS(J245)&lt;=0.01,"中","大")))</f>
        <v/>
      </c>
      <c r="M245" s="8" t="str">
        <f aca="false">IF(OR(D245="",K245=""),"",IF(D245=K245,"√","×"))</f>
        <v/>
      </c>
      <c r="N245" s="8" t="str">
        <f aca="false">IF(OR(E245="",L245=""),"",IF(E245=L245,"√","×"))</f>
        <v/>
      </c>
      <c r="O245" s="8"/>
      <c r="P245" s="8"/>
      <c r="Q245" s="8"/>
    </row>
    <row r="246" customFormat="false" ht="15" hidden="false" customHeight="true" outlineLevel="0" collapsed="false">
      <c r="A246" s="4"/>
      <c r="B246" s="4"/>
      <c r="C246" s="5"/>
      <c r="D246" s="4"/>
      <c r="E246" s="4"/>
      <c r="F246" s="4"/>
      <c r="G246" s="4"/>
      <c r="H246" s="4"/>
      <c r="I246" s="5"/>
      <c r="J246" s="7" t="str">
        <f aca="false">IF(OR(I246="",C246=""),"",(I246-C246)/C246)</f>
        <v/>
      </c>
      <c r="K246" s="4" t="str">
        <f aca="false">IF(J246="","",IF(J246&gt;0,"涨",IF(J246&lt;0,"跌","平")))</f>
        <v/>
      </c>
      <c r="L246" s="4" t="str">
        <f aca="false">IF(J246="","",IF(ABS(J246)&lt;=0.003,"小",IF(ABS(J246)&lt;=0.01,"中","大")))</f>
        <v/>
      </c>
      <c r="M246" s="4" t="str">
        <f aca="false">IF(OR(D246="",K246=""),"",IF(D246=K246,"√","×"))</f>
        <v/>
      </c>
      <c r="N246" s="4" t="str">
        <f aca="false">IF(OR(E246="",L246=""),"",IF(E246=L246,"√","×"))</f>
        <v/>
      </c>
      <c r="O246" s="4"/>
      <c r="P246" s="4"/>
      <c r="Q246" s="4"/>
    </row>
    <row r="247" customFormat="false" ht="15" hidden="false" customHeight="true" outlineLevel="0" collapsed="false">
      <c r="A247" s="8"/>
      <c r="B247" s="8"/>
      <c r="C247" s="9"/>
      <c r="D247" s="8"/>
      <c r="E247" s="8"/>
      <c r="F247" s="8"/>
      <c r="G247" s="8"/>
      <c r="H247" s="8"/>
      <c r="I247" s="9"/>
      <c r="J247" s="11" t="str">
        <f aca="false">IF(OR(I247="",C247=""),"",(I247-C247)/C247)</f>
        <v/>
      </c>
      <c r="K247" s="8" t="str">
        <f aca="false">IF(J247="","",IF(J247&gt;0,"涨",IF(J247&lt;0,"跌","平")))</f>
        <v/>
      </c>
      <c r="L247" s="8" t="str">
        <f aca="false">IF(J247="","",IF(ABS(J247)&lt;=0.003,"小",IF(ABS(J247)&lt;=0.01,"中","大")))</f>
        <v/>
      </c>
      <c r="M247" s="8" t="str">
        <f aca="false">IF(OR(D247="",K247=""),"",IF(D247=K247,"√","×"))</f>
        <v/>
      </c>
      <c r="N247" s="8" t="str">
        <f aca="false">IF(OR(E247="",L247=""),"",IF(E247=L247,"√","×"))</f>
        <v/>
      </c>
      <c r="O247" s="8"/>
      <c r="P247" s="8"/>
      <c r="Q247" s="8"/>
    </row>
    <row r="248" customFormat="false" ht="15" hidden="false" customHeight="true" outlineLevel="0" collapsed="false">
      <c r="A248" s="4"/>
      <c r="B248" s="4"/>
      <c r="C248" s="5"/>
      <c r="D248" s="4"/>
      <c r="E248" s="4"/>
      <c r="F248" s="4"/>
      <c r="G248" s="4"/>
      <c r="H248" s="4"/>
      <c r="I248" s="5"/>
      <c r="J248" s="7" t="str">
        <f aca="false">IF(OR(I248="",C248=""),"",(I248-C248)/C248)</f>
        <v/>
      </c>
      <c r="K248" s="4" t="str">
        <f aca="false">IF(J248="","",IF(J248&gt;0,"涨",IF(J248&lt;0,"跌","平")))</f>
        <v/>
      </c>
      <c r="L248" s="4" t="str">
        <f aca="false">IF(J248="","",IF(ABS(J248)&lt;=0.003,"小",IF(ABS(J248)&lt;=0.01,"中","大")))</f>
        <v/>
      </c>
      <c r="M248" s="4" t="str">
        <f aca="false">IF(OR(D248="",K248=""),"",IF(D248=K248,"√","×"))</f>
        <v/>
      </c>
      <c r="N248" s="4" t="str">
        <f aca="false">IF(OR(E248="",L248=""),"",IF(E248=L248,"√","×"))</f>
        <v/>
      </c>
      <c r="O248" s="4"/>
      <c r="P248" s="4"/>
      <c r="Q248" s="4"/>
    </row>
    <row r="249" customFormat="false" ht="15" hidden="false" customHeight="true" outlineLevel="0" collapsed="false">
      <c r="A249" s="8"/>
      <c r="B249" s="8"/>
      <c r="C249" s="9"/>
      <c r="D249" s="8"/>
      <c r="E249" s="8"/>
      <c r="F249" s="8"/>
      <c r="G249" s="8"/>
      <c r="H249" s="8"/>
      <c r="I249" s="9"/>
      <c r="J249" s="11" t="str">
        <f aca="false">IF(OR(I249="",C249=""),"",(I249-C249)/C249)</f>
        <v/>
      </c>
      <c r="K249" s="8" t="str">
        <f aca="false">IF(J249="","",IF(J249&gt;0,"涨",IF(J249&lt;0,"跌","平")))</f>
        <v/>
      </c>
      <c r="L249" s="8" t="str">
        <f aca="false">IF(J249="","",IF(ABS(J249)&lt;=0.003,"小",IF(ABS(J249)&lt;=0.01,"中","大")))</f>
        <v/>
      </c>
      <c r="M249" s="8" t="str">
        <f aca="false">IF(OR(D249="",K249=""),"",IF(D249=K249,"√","×"))</f>
        <v/>
      </c>
      <c r="N249" s="8" t="str">
        <f aca="false">IF(OR(E249="",L249=""),"",IF(E249=L249,"√","×"))</f>
        <v/>
      </c>
      <c r="O249" s="8"/>
      <c r="P249" s="8"/>
      <c r="Q249" s="8"/>
    </row>
    <row r="250" customFormat="false" ht="15" hidden="false" customHeight="true" outlineLevel="0" collapsed="false">
      <c r="A250" s="4"/>
      <c r="B250" s="4"/>
      <c r="C250" s="5"/>
      <c r="D250" s="4"/>
      <c r="E250" s="4"/>
      <c r="F250" s="4"/>
      <c r="G250" s="4"/>
      <c r="H250" s="4"/>
      <c r="I250" s="5"/>
      <c r="J250" s="7" t="str">
        <f aca="false">IF(OR(I250="",C250=""),"",(I250-C250)/C250)</f>
        <v/>
      </c>
      <c r="K250" s="4" t="str">
        <f aca="false">IF(J250="","",IF(J250&gt;0,"涨",IF(J250&lt;0,"跌","平")))</f>
        <v/>
      </c>
      <c r="L250" s="4" t="str">
        <f aca="false">IF(J250="","",IF(ABS(J250)&lt;=0.003,"小",IF(ABS(J250)&lt;=0.01,"中","大")))</f>
        <v/>
      </c>
      <c r="M250" s="4" t="str">
        <f aca="false">IF(OR(D250="",K250=""),"",IF(D250=K250,"√","×"))</f>
        <v/>
      </c>
      <c r="N250" s="4" t="str">
        <f aca="false">IF(OR(E250="",L250=""),"",IF(E250=L250,"√","×"))</f>
        <v/>
      </c>
      <c r="O250" s="4"/>
      <c r="P250" s="4"/>
      <c r="Q250" s="4"/>
    </row>
    <row r="251" customFormat="false" ht="15" hidden="false" customHeight="true" outlineLevel="0" collapsed="false">
      <c r="A251" s="8"/>
      <c r="B251" s="8"/>
      <c r="C251" s="9"/>
      <c r="D251" s="8"/>
      <c r="E251" s="8"/>
      <c r="F251" s="8"/>
      <c r="G251" s="8"/>
      <c r="H251" s="8"/>
      <c r="I251" s="9"/>
      <c r="J251" s="11" t="str">
        <f aca="false">IF(OR(I251="",C251=""),"",(I251-C251)/C251)</f>
        <v/>
      </c>
      <c r="K251" s="8" t="str">
        <f aca="false">IF(J251="","",IF(J251&gt;0,"涨",IF(J251&lt;0,"跌","平")))</f>
        <v/>
      </c>
      <c r="L251" s="8" t="str">
        <f aca="false">IF(J251="","",IF(ABS(J251)&lt;=0.003,"小",IF(ABS(J251)&lt;=0.01,"中","大")))</f>
        <v/>
      </c>
      <c r="M251" s="8" t="str">
        <f aca="false">IF(OR(D251="",K251=""),"",IF(D251=K251,"√","×"))</f>
        <v/>
      </c>
      <c r="N251" s="8" t="str">
        <f aca="false">IF(OR(E251="",L251=""),"",IF(E251=L251,"√","×"))</f>
        <v/>
      </c>
      <c r="O251" s="8"/>
      <c r="P251" s="8"/>
      <c r="Q251" s="8"/>
    </row>
    <row r="252" customFormat="false" ht="15" hidden="false" customHeight="true" outlineLevel="0" collapsed="false">
      <c r="A252" s="4"/>
      <c r="B252" s="4"/>
      <c r="C252" s="5"/>
      <c r="D252" s="4"/>
      <c r="E252" s="4"/>
      <c r="F252" s="4"/>
      <c r="G252" s="4"/>
      <c r="H252" s="4"/>
      <c r="I252" s="5"/>
      <c r="J252" s="7" t="str">
        <f aca="false">IF(OR(I252="",C252=""),"",(I252-C252)/C252)</f>
        <v/>
      </c>
      <c r="K252" s="4" t="str">
        <f aca="false">IF(J252="","",IF(J252&gt;0,"涨",IF(J252&lt;0,"跌","平")))</f>
        <v/>
      </c>
      <c r="L252" s="4" t="str">
        <f aca="false">IF(J252="","",IF(ABS(J252)&lt;=0.003,"小",IF(ABS(J252)&lt;=0.01,"中","大")))</f>
        <v/>
      </c>
      <c r="M252" s="4" t="str">
        <f aca="false">IF(OR(D252="",K252=""),"",IF(D252=K252,"√","×"))</f>
        <v/>
      </c>
      <c r="N252" s="4" t="str">
        <f aca="false">IF(OR(E252="",L252=""),"",IF(E252=L252,"√","×"))</f>
        <v/>
      </c>
      <c r="O252" s="4"/>
      <c r="P252" s="4"/>
      <c r="Q252" s="4"/>
    </row>
    <row r="253" customFormat="false" ht="15" hidden="false" customHeight="true" outlineLevel="0" collapsed="false">
      <c r="A253" s="8"/>
      <c r="B253" s="8"/>
      <c r="C253" s="9"/>
      <c r="D253" s="8"/>
      <c r="E253" s="8"/>
      <c r="F253" s="8"/>
      <c r="G253" s="8"/>
      <c r="H253" s="8"/>
      <c r="I253" s="9"/>
      <c r="J253" s="11" t="str">
        <f aca="false">IF(OR(I253="",C253=""),"",(I253-C253)/C253)</f>
        <v/>
      </c>
      <c r="K253" s="8" t="str">
        <f aca="false">IF(J253="","",IF(J253&gt;0,"涨",IF(J253&lt;0,"跌","平")))</f>
        <v/>
      </c>
      <c r="L253" s="8" t="str">
        <f aca="false">IF(J253="","",IF(ABS(J253)&lt;=0.003,"小",IF(ABS(J253)&lt;=0.01,"中","大")))</f>
        <v/>
      </c>
      <c r="M253" s="8" t="str">
        <f aca="false">IF(OR(D253="",K253=""),"",IF(D253=K253,"√","×"))</f>
        <v/>
      </c>
      <c r="N253" s="8" t="str">
        <f aca="false">IF(OR(E253="",L253=""),"",IF(E253=L253,"√","×"))</f>
        <v/>
      </c>
      <c r="O253" s="8"/>
      <c r="P253" s="8"/>
      <c r="Q253" s="8"/>
    </row>
    <row r="254" customFormat="false" ht="15" hidden="false" customHeight="true" outlineLevel="0" collapsed="false">
      <c r="A254" s="4"/>
      <c r="B254" s="4"/>
      <c r="C254" s="5"/>
      <c r="D254" s="4"/>
      <c r="E254" s="4"/>
      <c r="F254" s="4"/>
      <c r="G254" s="4"/>
      <c r="H254" s="4"/>
      <c r="I254" s="5"/>
      <c r="J254" s="7" t="str">
        <f aca="false">IF(OR(I254="",C254=""),"",(I254-C254)/C254)</f>
        <v/>
      </c>
      <c r="K254" s="4" t="str">
        <f aca="false">IF(J254="","",IF(J254&gt;0,"涨",IF(J254&lt;0,"跌","平")))</f>
        <v/>
      </c>
      <c r="L254" s="4" t="str">
        <f aca="false">IF(J254="","",IF(ABS(J254)&lt;=0.003,"小",IF(ABS(J254)&lt;=0.01,"中","大")))</f>
        <v/>
      </c>
      <c r="M254" s="4" t="str">
        <f aca="false">IF(OR(D254="",K254=""),"",IF(D254=K254,"√","×"))</f>
        <v/>
      </c>
      <c r="N254" s="4" t="str">
        <f aca="false">IF(OR(E254="",L254=""),"",IF(E254=L254,"√","×"))</f>
        <v/>
      </c>
      <c r="O254" s="4"/>
      <c r="P254" s="4"/>
      <c r="Q254" s="4"/>
    </row>
    <row r="255" customFormat="false" ht="15" hidden="false" customHeight="true" outlineLevel="0" collapsed="false">
      <c r="A255" s="8"/>
      <c r="B255" s="8"/>
      <c r="C255" s="9"/>
      <c r="D255" s="8"/>
      <c r="E255" s="8"/>
      <c r="F255" s="8"/>
      <c r="G255" s="8"/>
      <c r="H255" s="8"/>
      <c r="I255" s="9"/>
      <c r="J255" s="11" t="str">
        <f aca="false">IF(OR(I255="",C255=""),"",(I255-C255)/C255)</f>
        <v/>
      </c>
      <c r="K255" s="8" t="str">
        <f aca="false">IF(J255="","",IF(J255&gt;0,"涨",IF(J255&lt;0,"跌","平")))</f>
        <v/>
      </c>
      <c r="L255" s="8" t="str">
        <f aca="false">IF(J255="","",IF(ABS(J255)&lt;=0.003,"小",IF(ABS(J255)&lt;=0.01,"中","大")))</f>
        <v/>
      </c>
      <c r="M255" s="8" t="str">
        <f aca="false">IF(OR(D255="",K255=""),"",IF(D255=K255,"√","×"))</f>
        <v/>
      </c>
      <c r="N255" s="8" t="str">
        <f aca="false">IF(OR(E255="",L255=""),"",IF(E255=L255,"√","×"))</f>
        <v/>
      </c>
      <c r="O255" s="8"/>
      <c r="P255" s="8"/>
      <c r="Q255" s="8"/>
    </row>
    <row r="256" customFormat="false" ht="15" hidden="false" customHeight="true" outlineLevel="0" collapsed="false">
      <c r="A256" s="4"/>
      <c r="B256" s="4"/>
      <c r="C256" s="5"/>
      <c r="D256" s="4"/>
      <c r="E256" s="4"/>
      <c r="F256" s="4"/>
      <c r="G256" s="4"/>
      <c r="H256" s="4"/>
      <c r="I256" s="5"/>
      <c r="J256" s="7" t="str">
        <f aca="false">IF(OR(I256="",C256=""),"",(I256-C256)/C256)</f>
        <v/>
      </c>
      <c r="K256" s="4" t="str">
        <f aca="false">IF(J256="","",IF(J256&gt;0,"涨",IF(J256&lt;0,"跌","平")))</f>
        <v/>
      </c>
      <c r="L256" s="4" t="str">
        <f aca="false">IF(J256="","",IF(ABS(J256)&lt;=0.003,"小",IF(ABS(J256)&lt;=0.01,"中","大")))</f>
        <v/>
      </c>
      <c r="M256" s="4" t="str">
        <f aca="false">IF(OR(D256="",K256=""),"",IF(D256=K256,"√","×"))</f>
        <v/>
      </c>
      <c r="N256" s="4" t="str">
        <f aca="false">IF(OR(E256="",L256=""),"",IF(E256=L256,"√","×"))</f>
        <v/>
      </c>
      <c r="O256" s="4"/>
      <c r="P256" s="4"/>
      <c r="Q256" s="4"/>
    </row>
    <row r="257" customFormat="false" ht="15" hidden="false" customHeight="true" outlineLevel="0" collapsed="false">
      <c r="A257" s="8"/>
      <c r="B257" s="8"/>
      <c r="C257" s="9"/>
      <c r="D257" s="8"/>
      <c r="E257" s="8"/>
      <c r="F257" s="8"/>
      <c r="G257" s="8"/>
      <c r="H257" s="8"/>
      <c r="I257" s="9"/>
      <c r="J257" s="11" t="str">
        <f aca="false">IF(OR(I257="",C257=""),"",(I257-C257)/C257)</f>
        <v/>
      </c>
      <c r="K257" s="8" t="str">
        <f aca="false">IF(J257="","",IF(J257&gt;0,"涨",IF(J257&lt;0,"跌","平")))</f>
        <v/>
      </c>
      <c r="L257" s="8" t="str">
        <f aca="false">IF(J257="","",IF(ABS(J257)&lt;=0.003,"小",IF(ABS(J257)&lt;=0.01,"中","大")))</f>
        <v/>
      </c>
      <c r="M257" s="8" t="str">
        <f aca="false">IF(OR(D257="",K257=""),"",IF(D257=K257,"√","×"))</f>
        <v/>
      </c>
      <c r="N257" s="8" t="str">
        <f aca="false">IF(OR(E257="",L257=""),"",IF(E257=L257,"√","×"))</f>
        <v/>
      </c>
      <c r="O257" s="8"/>
      <c r="P257" s="8"/>
      <c r="Q257" s="8"/>
    </row>
    <row r="258" customFormat="false" ht="15" hidden="false" customHeight="true" outlineLevel="0" collapsed="false">
      <c r="A258" s="4"/>
      <c r="B258" s="4"/>
      <c r="C258" s="5"/>
      <c r="D258" s="4"/>
      <c r="E258" s="4"/>
      <c r="F258" s="4"/>
      <c r="G258" s="4"/>
      <c r="H258" s="4"/>
      <c r="I258" s="5"/>
      <c r="J258" s="7" t="str">
        <f aca="false">IF(OR(I258="",C258=""),"",(I258-C258)/C258)</f>
        <v/>
      </c>
      <c r="K258" s="4" t="str">
        <f aca="false">IF(J258="","",IF(J258&gt;0,"涨",IF(J258&lt;0,"跌","平")))</f>
        <v/>
      </c>
      <c r="L258" s="4" t="str">
        <f aca="false">IF(J258="","",IF(ABS(J258)&lt;=0.003,"小",IF(ABS(J258)&lt;=0.01,"中","大")))</f>
        <v/>
      </c>
      <c r="M258" s="4" t="str">
        <f aca="false">IF(OR(D258="",K258=""),"",IF(D258=K258,"√","×"))</f>
        <v/>
      </c>
      <c r="N258" s="4" t="str">
        <f aca="false">IF(OR(E258="",L258=""),"",IF(E258=L258,"√","×"))</f>
        <v/>
      </c>
      <c r="O258" s="4"/>
      <c r="P258" s="4"/>
      <c r="Q258" s="4"/>
    </row>
    <row r="259" customFormat="false" ht="15" hidden="false" customHeight="true" outlineLevel="0" collapsed="false">
      <c r="A259" s="8"/>
      <c r="B259" s="8"/>
      <c r="C259" s="9"/>
      <c r="D259" s="8"/>
      <c r="E259" s="8"/>
      <c r="F259" s="8"/>
      <c r="G259" s="8"/>
      <c r="H259" s="8"/>
      <c r="I259" s="9"/>
      <c r="J259" s="11" t="str">
        <f aca="false">IF(OR(I259="",C259=""),"",(I259-C259)/C259)</f>
        <v/>
      </c>
      <c r="K259" s="8" t="str">
        <f aca="false">IF(J259="","",IF(J259&gt;0,"涨",IF(J259&lt;0,"跌","平")))</f>
        <v/>
      </c>
      <c r="L259" s="8" t="str">
        <f aca="false">IF(J259="","",IF(ABS(J259)&lt;=0.003,"小",IF(ABS(J259)&lt;=0.01,"中","大")))</f>
        <v/>
      </c>
      <c r="M259" s="8" t="str">
        <f aca="false">IF(OR(D259="",K259=""),"",IF(D259=K259,"√","×"))</f>
        <v/>
      </c>
      <c r="N259" s="8" t="str">
        <f aca="false">IF(OR(E259="",L259=""),"",IF(E259=L259,"√","×"))</f>
        <v/>
      </c>
      <c r="O259" s="8"/>
      <c r="P259" s="8"/>
      <c r="Q259" s="8"/>
    </row>
    <row r="260" customFormat="false" ht="15" hidden="false" customHeight="true" outlineLevel="0" collapsed="false">
      <c r="A260" s="4"/>
      <c r="B260" s="4"/>
      <c r="C260" s="5"/>
      <c r="D260" s="4"/>
      <c r="E260" s="4"/>
      <c r="F260" s="4"/>
      <c r="G260" s="4"/>
      <c r="H260" s="4"/>
      <c r="I260" s="5"/>
      <c r="J260" s="7" t="str">
        <f aca="false">IF(OR(I260="",C260=""),"",(I260-C260)/C260)</f>
        <v/>
      </c>
      <c r="K260" s="4" t="str">
        <f aca="false">IF(J260="","",IF(J260&gt;0,"涨",IF(J260&lt;0,"跌","平")))</f>
        <v/>
      </c>
      <c r="L260" s="4" t="str">
        <f aca="false">IF(J260="","",IF(ABS(J260)&lt;=0.003,"小",IF(ABS(J260)&lt;=0.01,"中","大")))</f>
        <v/>
      </c>
      <c r="M260" s="4" t="str">
        <f aca="false">IF(OR(D260="",K260=""),"",IF(D260=K260,"√","×"))</f>
        <v/>
      </c>
      <c r="N260" s="4" t="str">
        <f aca="false">IF(OR(E260="",L260=""),"",IF(E260=L260,"√","×"))</f>
        <v/>
      </c>
      <c r="O260" s="4"/>
      <c r="P260" s="4"/>
      <c r="Q260" s="4"/>
    </row>
    <row r="261" customFormat="false" ht="15" hidden="false" customHeight="true" outlineLevel="0" collapsed="false">
      <c r="A261" s="8"/>
      <c r="B261" s="8"/>
      <c r="C261" s="9"/>
      <c r="D261" s="8"/>
      <c r="E261" s="8"/>
      <c r="F261" s="8"/>
      <c r="G261" s="8"/>
      <c r="H261" s="8"/>
      <c r="I261" s="9"/>
      <c r="J261" s="11" t="str">
        <f aca="false">IF(OR(I261="",C261=""),"",(I261-C261)/C261)</f>
        <v/>
      </c>
      <c r="K261" s="8" t="str">
        <f aca="false">IF(J261="","",IF(J261&gt;0,"涨",IF(J261&lt;0,"跌","平")))</f>
        <v/>
      </c>
      <c r="L261" s="8" t="str">
        <f aca="false">IF(J261="","",IF(ABS(J261)&lt;=0.003,"小",IF(ABS(J261)&lt;=0.01,"中","大")))</f>
        <v/>
      </c>
      <c r="M261" s="8" t="str">
        <f aca="false">IF(OR(D261="",K261=""),"",IF(D261=K261,"√","×"))</f>
        <v/>
      </c>
      <c r="N261" s="8" t="str">
        <f aca="false">IF(OR(E261="",L261=""),"",IF(E261=L261,"√","×"))</f>
        <v/>
      </c>
      <c r="O261" s="8"/>
      <c r="P261" s="8"/>
      <c r="Q261" s="8"/>
    </row>
    <row r="262" customFormat="false" ht="15" hidden="false" customHeight="true" outlineLevel="0" collapsed="false">
      <c r="A262" s="4"/>
      <c r="B262" s="4"/>
      <c r="C262" s="5"/>
      <c r="D262" s="4"/>
      <c r="E262" s="4"/>
      <c r="F262" s="4"/>
      <c r="G262" s="4"/>
      <c r="H262" s="4"/>
      <c r="I262" s="5"/>
      <c r="J262" s="7" t="str">
        <f aca="false">IF(OR(I262="",C262=""),"",(I262-C262)/C262)</f>
        <v/>
      </c>
      <c r="K262" s="4" t="str">
        <f aca="false">IF(J262="","",IF(J262&gt;0,"涨",IF(J262&lt;0,"跌","平")))</f>
        <v/>
      </c>
      <c r="L262" s="4" t="str">
        <f aca="false">IF(J262="","",IF(ABS(J262)&lt;=0.003,"小",IF(ABS(J262)&lt;=0.01,"中","大")))</f>
        <v/>
      </c>
      <c r="M262" s="4" t="str">
        <f aca="false">IF(OR(D262="",K262=""),"",IF(D262=K262,"√","×"))</f>
        <v/>
      </c>
      <c r="N262" s="4" t="str">
        <f aca="false">IF(OR(E262="",L262=""),"",IF(E262=L262,"√","×"))</f>
        <v/>
      </c>
      <c r="O262" s="4"/>
      <c r="P262" s="4"/>
      <c r="Q262" s="4"/>
    </row>
    <row r="263" customFormat="false" ht="15" hidden="false" customHeight="true" outlineLevel="0" collapsed="false">
      <c r="A263" s="8"/>
      <c r="B263" s="8"/>
      <c r="C263" s="9"/>
      <c r="D263" s="8"/>
      <c r="E263" s="8"/>
      <c r="F263" s="8"/>
      <c r="G263" s="8"/>
      <c r="H263" s="8"/>
      <c r="I263" s="9"/>
      <c r="J263" s="11" t="str">
        <f aca="false">IF(OR(I263="",C263=""),"",(I263-C263)/C263)</f>
        <v/>
      </c>
      <c r="K263" s="8" t="str">
        <f aca="false">IF(J263="","",IF(J263&gt;0,"涨",IF(J263&lt;0,"跌","平")))</f>
        <v/>
      </c>
      <c r="L263" s="8" t="str">
        <f aca="false">IF(J263="","",IF(ABS(J263)&lt;=0.003,"小",IF(ABS(J263)&lt;=0.01,"中","大")))</f>
        <v/>
      </c>
      <c r="M263" s="8" t="str">
        <f aca="false">IF(OR(D263="",K263=""),"",IF(D263=K263,"√","×"))</f>
        <v/>
      </c>
      <c r="N263" s="8" t="str">
        <f aca="false">IF(OR(E263="",L263=""),"",IF(E263=L263,"√","×"))</f>
        <v/>
      </c>
      <c r="O263" s="8"/>
      <c r="P263" s="8"/>
      <c r="Q263" s="8"/>
    </row>
    <row r="264" customFormat="false" ht="15" hidden="false" customHeight="true" outlineLevel="0" collapsed="false">
      <c r="A264" s="4"/>
      <c r="B264" s="4"/>
      <c r="C264" s="5"/>
      <c r="D264" s="4"/>
      <c r="E264" s="4"/>
      <c r="F264" s="4"/>
      <c r="G264" s="4"/>
      <c r="H264" s="4"/>
      <c r="I264" s="5"/>
      <c r="J264" s="7" t="str">
        <f aca="false">IF(OR(I264="",C264=""),"",(I264-C264)/C264)</f>
        <v/>
      </c>
      <c r="K264" s="4" t="str">
        <f aca="false">IF(J264="","",IF(J264&gt;0,"涨",IF(J264&lt;0,"跌","平")))</f>
        <v/>
      </c>
      <c r="L264" s="4" t="str">
        <f aca="false">IF(J264="","",IF(ABS(J264)&lt;=0.003,"小",IF(ABS(J264)&lt;=0.01,"中","大")))</f>
        <v/>
      </c>
      <c r="M264" s="4" t="str">
        <f aca="false">IF(OR(D264="",K264=""),"",IF(D264=K264,"√","×"))</f>
        <v/>
      </c>
      <c r="N264" s="4" t="str">
        <f aca="false">IF(OR(E264="",L264=""),"",IF(E264=L264,"√","×"))</f>
        <v/>
      </c>
      <c r="O264" s="4"/>
      <c r="P264" s="4"/>
      <c r="Q264" s="4"/>
    </row>
    <row r="265" customFormat="false" ht="15" hidden="false" customHeight="true" outlineLevel="0" collapsed="false">
      <c r="A265" s="8"/>
      <c r="B265" s="8"/>
      <c r="C265" s="9"/>
      <c r="D265" s="8"/>
      <c r="E265" s="8"/>
      <c r="F265" s="8"/>
      <c r="G265" s="8"/>
      <c r="H265" s="8"/>
      <c r="I265" s="9"/>
      <c r="J265" s="11" t="str">
        <f aca="false">IF(OR(I265="",C265=""),"",(I265-C265)/C265)</f>
        <v/>
      </c>
      <c r="K265" s="8" t="str">
        <f aca="false">IF(J265="","",IF(J265&gt;0,"涨",IF(J265&lt;0,"跌","平")))</f>
        <v/>
      </c>
      <c r="L265" s="8" t="str">
        <f aca="false">IF(J265="","",IF(ABS(J265)&lt;=0.003,"小",IF(ABS(J265)&lt;=0.01,"中","大")))</f>
        <v/>
      </c>
      <c r="M265" s="8" t="str">
        <f aca="false">IF(OR(D265="",K265=""),"",IF(D265=K265,"√","×"))</f>
        <v/>
      </c>
      <c r="N265" s="8" t="str">
        <f aca="false">IF(OR(E265="",L265=""),"",IF(E265=L265,"√","×"))</f>
        <v/>
      </c>
      <c r="O265" s="8"/>
      <c r="P265" s="8"/>
      <c r="Q265" s="8"/>
    </row>
    <row r="266" customFormat="false" ht="15" hidden="false" customHeight="true" outlineLevel="0" collapsed="false">
      <c r="A266" s="4"/>
      <c r="B266" s="4"/>
      <c r="C266" s="5"/>
      <c r="D266" s="4"/>
      <c r="E266" s="4"/>
      <c r="F266" s="4"/>
      <c r="G266" s="4"/>
      <c r="H266" s="4"/>
      <c r="I266" s="5"/>
      <c r="J266" s="7" t="str">
        <f aca="false">IF(OR(I266="",C266=""),"",(I266-C266)/C266)</f>
        <v/>
      </c>
      <c r="K266" s="4" t="str">
        <f aca="false">IF(J266="","",IF(J266&gt;0,"涨",IF(J266&lt;0,"跌","平")))</f>
        <v/>
      </c>
      <c r="L266" s="4" t="str">
        <f aca="false">IF(J266="","",IF(ABS(J266)&lt;=0.003,"小",IF(ABS(J266)&lt;=0.01,"中","大")))</f>
        <v/>
      </c>
      <c r="M266" s="4" t="str">
        <f aca="false">IF(OR(D266="",K266=""),"",IF(D266=K266,"√","×"))</f>
        <v/>
      </c>
      <c r="N266" s="4" t="str">
        <f aca="false">IF(OR(E266="",L266=""),"",IF(E266=L266,"√","×"))</f>
        <v/>
      </c>
      <c r="O266" s="4"/>
      <c r="P266" s="4"/>
      <c r="Q266" s="4"/>
    </row>
    <row r="267" customFormat="false" ht="15" hidden="false" customHeight="true" outlineLevel="0" collapsed="false">
      <c r="A267" s="8"/>
      <c r="B267" s="8"/>
      <c r="C267" s="9"/>
      <c r="D267" s="8"/>
      <c r="E267" s="8"/>
      <c r="F267" s="8"/>
      <c r="G267" s="8"/>
      <c r="H267" s="8"/>
      <c r="I267" s="9"/>
      <c r="J267" s="11" t="str">
        <f aca="false">IF(OR(I267="",C267=""),"",(I267-C267)/C267)</f>
        <v/>
      </c>
      <c r="K267" s="8" t="str">
        <f aca="false">IF(J267="","",IF(J267&gt;0,"涨",IF(J267&lt;0,"跌","平")))</f>
        <v/>
      </c>
      <c r="L267" s="8" t="str">
        <f aca="false">IF(J267="","",IF(ABS(J267)&lt;=0.003,"小",IF(ABS(J267)&lt;=0.01,"中","大")))</f>
        <v/>
      </c>
      <c r="M267" s="8" t="str">
        <f aca="false">IF(OR(D267="",K267=""),"",IF(D267=K267,"√","×"))</f>
        <v/>
      </c>
      <c r="N267" s="8" t="str">
        <f aca="false">IF(OR(E267="",L267=""),"",IF(E267=L267,"√","×"))</f>
        <v/>
      </c>
      <c r="O267" s="8"/>
      <c r="P267" s="8"/>
      <c r="Q267" s="8"/>
    </row>
    <row r="268" customFormat="false" ht="15" hidden="false" customHeight="true" outlineLevel="0" collapsed="false">
      <c r="A268" s="4"/>
      <c r="B268" s="4"/>
      <c r="C268" s="5"/>
      <c r="D268" s="4"/>
      <c r="E268" s="4"/>
      <c r="F268" s="4"/>
      <c r="G268" s="4"/>
      <c r="H268" s="4"/>
      <c r="I268" s="5"/>
      <c r="J268" s="7" t="str">
        <f aca="false">IF(OR(I268="",C268=""),"",(I268-C268)/C268)</f>
        <v/>
      </c>
      <c r="K268" s="4" t="str">
        <f aca="false">IF(J268="","",IF(J268&gt;0,"涨",IF(J268&lt;0,"跌","平")))</f>
        <v/>
      </c>
      <c r="L268" s="4" t="str">
        <f aca="false">IF(J268="","",IF(ABS(J268)&lt;=0.003,"小",IF(ABS(J268)&lt;=0.01,"中","大")))</f>
        <v/>
      </c>
      <c r="M268" s="4" t="str">
        <f aca="false">IF(OR(D268="",K268=""),"",IF(D268=K268,"√","×"))</f>
        <v/>
      </c>
      <c r="N268" s="4" t="str">
        <f aca="false">IF(OR(E268="",L268=""),"",IF(E268=L268,"√","×"))</f>
        <v/>
      </c>
      <c r="O268" s="4"/>
      <c r="P268" s="4"/>
      <c r="Q268" s="4"/>
    </row>
    <row r="269" customFormat="false" ht="15" hidden="false" customHeight="true" outlineLevel="0" collapsed="false">
      <c r="A269" s="8"/>
      <c r="B269" s="8"/>
      <c r="C269" s="9"/>
      <c r="D269" s="8"/>
      <c r="E269" s="8"/>
      <c r="F269" s="8"/>
      <c r="G269" s="8"/>
      <c r="H269" s="8"/>
      <c r="I269" s="9"/>
      <c r="J269" s="11" t="str">
        <f aca="false">IF(OR(I269="",C269=""),"",(I269-C269)/C269)</f>
        <v/>
      </c>
      <c r="K269" s="8" t="str">
        <f aca="false">IF(J269="","",IF(J269&gt;0,"涨",IF(J269&lt;0,"跌","平")))</f>
        <v/>
      </c>
      <c r="L269" s="8" t="str">
        <f aca="false">IF(J269="","",IF(ABS(J269)&lt;=0.003,"小",IF(ABS(J269)&lt;=0.01,"中","大")))</f>
        <v/>
      </c>
      <c r="M269" s="8" t="str">
        <f aca="false">IF(OR(D269="",K269=""),"",IF(D269=K269,"√","×"))</f>
        <v/>
      </c>
      <c r="N269" s="8" t="str">
        <f aca="false">IF(OR(E269="",L269=""),"",IF(E269=L269,"√","×"))</f>
        <v/>
      </c>
      <c r="O269" s="8"/>
      <c r="P269" s="8"/>
      <c r="Q269" s="8"/>
    </row>
    <row r="270" customFormat="false" ht="15" hidden="false" customHeight="true" outlineLevel="0" collapsed="false">
      <c r="A270" s="4"/>
      <c r="B270" s="4"/>
      <c r="C270" s="5"/>
      <c r="D270" s="4"/>
      <c r="E270" s="4"/>
      <c r="F270" s="4"/>
      <c r="G270" s="4"/>
      <c r="H270" s="4"/>
      <c r="I270" s="5"/>
      <c r="J270" s="7" t="str">
        <f aca="false">IF(OR(I270="",C270=""),"",(I270-C270)/C270)</f>
        <v/>
      </c>
      <c r="K270" s="4" t="str">
        <f aca="false">IF(J270="","",IF(J270&gt;0,"涨",IF(J270&lt;0,"跌","平")))</f>
        <v/>
      </c>
      <c r="L270" s="4" t="str">
        <f aca="false">IF(J270="","",IF(ABS(J270)&lt;=0.003,"小",IF(ABS(J270)&lt;=0.01,"中","大")))</f>
        <v/>
      </c>
      <c r="M270" s="4" t="str">
        <f aca="false">IF(OR(D270="",K270=""),"",IF(D270=K270,"√","×"))</f>
        <v/>
      </c>
      <c r="N270" s="4" t="str">
        <f aca="false">IF(OR(E270="",L270=""),"",IF(E270=L270,"√","×"))</f>
        <v/>
      </c>
      <c r="O270" s="4"/>
      <c r="P270" s="4"/>
      <c r="Q270" s="4"/>
    </row>
    <row r="271" customFormat="false" ht="15" hidden="false" customHeight="true" outlineLevel="0" collapsed="false">
      <c r="A271" s="8"/>
      <c r="B271" s="8"/>
      <c r="C271" s="9"/>
      <c r="D271" s="8"/>
      <c r="E271" s="8"/>
      <c r="F271" s="8"/>
      <c r="G271" s="8"/>
      <c r="H271" s="8"/>
      <c r="I271" s="9"/>
      <c r="J271" s="11" t="str">
        <f aca="false">IF(OR(I271="",C271=""),"",(I271-C271)/C271)</f>
        <v/>
      </c>
      <c r="K271" s="8" t="str">
        <f aca="false">IF(J271="","",IF(J271&gt;0,"涨",IF(J271&lt;0,"跌","平")))</f>
        <v/>
      </c>
      <c r="L271" s="8" t="str">
        <f aca="false">IF(J271="","",IF(ABS(J271)&lt;=0.003,"小",IF(ABS(J271)&lt;=0.01,"中","大")))</f>
        <v/>
      </c>
      <c r="M271" s="8" t="str">
        <f aca="false">IF(OR(D271="",K271=""),"",IF(D271=K271,"√","×"))</f>
        <v/>
      </c>
      <c r="N271" s="8" t="str">
        <f aca="false">IF(OR(E271="",L271=""),"",IF(E271=L271,"√","×"))</f>
        <v/>
      </c>
      <c r="O271" s="8"/>
      <c r="P271" s="8"/>
      <c r="Q271" s="8"/>
    </row>
    <row r="272" customFormat="false" ht="15" hidden="false" customHeight="true" outlineLevel="0" collapsed="false">
      <c r="A272" s="4"/>
      <c r="B272" s="4"/>
      <c r="C272" s="5"/>
      <c r="D272" s="4"/>
      <c r="E272" s="4"/>
      <c r="F272" s="4"/>
      <c r="G272" s="4"/>
      <c r="H272" s="4"/>
      <c r="I272" s="5"/>
      <c r="J272" s="7" t="str">
        <f aca="false">IF(OR(I272="",C272=""),"",(I272-C272)/C272)</f>
        <v/>
      </c>
      <c r="K272" s="4" t="str">
        <f aca="false">IF(J272="","",IF(J272&gt;0,"涨",IF(J272&lt;0,"跌","平")))</f>
        <v/>
      </c>
      <c r="L272" s="4" t="str">
        <f aca="false">IF(J272="","",IF(ABS(J272)&lt;=0.003,"小",IF(ABS(J272)&lt;=0.01,"中","大")))</f>
        <v/>
      </c>
      <c r="M272" s="4" t="str">
        <f aca="false">IF(OR(D272="",K272=""),"",IF(D272=K272,"√","×"))</f>
        <v/>
      </c>
      <c r="N272" s="4" t="str">
        <f aca="false">IF(OR(E272="",L272=""),"",IF(E272=L272,"√","×"))</f>
        <v/>
      </c>
      <c r="O272" s="4"/>
      <c r="P272" s="4"/>
      <c r="Q272" s="4"/>
    </row>
    <row r="273" customFormat="false" ht="15" hidden="false" customHeight="true" outlineLevel="0" collapsed="false">
      <c r="A273" s="8"/>
      <c r="B273" s="8"/>
      <c r="C273" s="9"/>
      <c r="D273" s="8"/>
      <c r="E273" s="8"/>
      <c r="F273" s="8"/>
      <c r="G273" s="8"/>
      <c r="H273" s="8"/>
      <c r="I273" s="9"/>
      <c r="J273" s="11" t="str">
        <f aca="false">IF(OR(I273="",C273=""),"",(I273-C273)/C273)</f>
        <v/>
      </c>
      <c r="K273" s="8" t="str">
        <f aca="false">IF(J273="","",IF(J273&gt;0,"涨",IF(J273&lt;0,"跌","平")))</f>
        <v/>
      </c>
      <c r="L273" s="8" t="str">
        <f aca="false">IF(J273="","",IF(ABS(J273)&lt;=0.003,"小",IF(ABS(J273)&lt;=0.01,"中","大")))</f>
        <v/>
      </c>
      <c r="M273" s="8" t="str">
        <f aca="false">IF(OR(D273="",K273=""),"",IF(D273=K273,"√","×"))</f>
        <v/>
      </c>
      <c r="N273" s="8" t="str">
        <f aca="false">IF(OR(E273="",L273=""),"",IF(E273=L273,"√","×"))</f>
        <v/>
      </c>
      <c r="O273" s="8"/>
      <c r="P273" s="8"/>
      <c r="Q273" s="8"/>
    </row>
    <row r="274" customFormat="false" ht="15" hidden="false" customHeight="true" outlineLevel="0" collapsed="false">
      <c r="A274" s="4"/>
      <c r="B274" s="4"/>
      <c r="C274" s="5"/>
      <c r="D274" s="4"/>
      <c r="E274" s="4"/>
      <c r="F274" s="4"/>
      <c r="G274" s="4"/>
      <c r="H274" s="4"/>
      <c r="I274" s="5"/>
      <c r="J274" s="7" t="str">
        <f aca="false">IF(OR(I274="",C274=""),"",(I274-C274)/C274)</f>
        <v/>
      </c>
      <c r="K274" s="4" t="str">
        <f aca="false">IF(J274="","",IF(J274&gt;0,"涨",IF(J274&lt;0,"跌","平")))</f>
        <v/>
      </c>
      <c r="L274" s="4" t="str">
        <f aca="false">IF(J274="","",IF(ABS(J274)&lt;=0.003,"小",IF(ABS(J274)&lt;=0.01,"中","大")))</f>
        <v/>
      </c>
      <c r="M274" s="4" t="str">
        <f aca="false">IF(OR(D274="",K274=""),"",IF(D274=K274,"√","×"))</f>
        <v/>
      </c>
      <c r="N274" s="4" t="str">
        <f aca="false">IF(OR(E274="",L274=""),"",IF(E274=L274,"√","×"))</f>
        <v/>
      </c>
      <c r="O274" s="4"/>
      <c r="P274" s="4"/>
      <c r="Q274" s="4"/>
    </row>
    <row r="275" customFormat="false" ht="15" hidden="false" customHeight="true" outlineLevel="0" collapsed="false">
      <c r="A275" s="8"/>
      <c r="B275" s="8"/>
      <c r="C275" s="9"/>
      <c r="D275" s="8"/>
      <c r="E275" s="8"/>
      <c r="F275" s="8"/>
      <c r="G275" s="8"/>
      <c r="H275" s="8"/>
      <c r="I275" s="9"/>
      <c r="J275" s="11" t="str">
        <f aca="false">IF(OR(I275="",C275=""),"",(I275-C275)/C275)</f>
        <v/>
      </c>
      <c r="K275" s="8" t="str">
        <f aca="false">IF(J275="","",IF(J275&gt;0,"涨",IF(J275&lt;0,"跌","平")))</f>
        <v/>
      </c>
      <c r="L275" s="8" t="str">
        <f aca="false">IF(J275="","",IF(ABS(J275)&lt;=0.003,"小",IF(ABS(J275)&lt;=0.01,"中","大")))</f>
        <v/>
      </c>
      <c r="M275" s="8" t="str">
        <f aca="false">IF(OR(D275="",K275=""),"",IF(D275=K275,"√","×"))</f>
        <v/>
      </c>
      <c r="N275" s="8" t="str">
        <f aca="false">IF(OR(E275="",L275=""),"",IF(E275=L275,"√","×"))</f>
        <v/>
      </c>
      <c r="O275" s="8"/>
      <c r="P275" s="8"/>
      <c r="Q275" s="8"/>
    </row>
    <row r="276" customFormat="false" ht="15" hidden="false" customHeight="true" outlineLevel="0" collapsed="false">
      <c r="A276" s="4"/>
      <c r="B276" s="4"/>
      <c r="C276" s="5"/>
      <c r="D276" s="4"/>
      <c r="E276" s="4"/>
      <c r="F276" s="4"/>
      <c r="G276" s="4"/>
      <c r="H276" s="4"/>
      <c r="I276" s="5"/>
      <c r="J276" s="7" t="str">
        <f aca="false">IF(OR(I276="",C276=""),"",(I276-C276)/C276)</f>
        <v/>
      </c>
      <c r="K276" s="4" t="str">
        <f aca="false">IF(J276="","",IF(J276&gt;0,"涨",IF(J276&lt;0,"跌","平")))</f>
        <v/>
      </c>
      <c r="L276" s="4" t="str">
        <f aca="false">IF(J276="","",IF(ABS(J276)&lt;=0.003,"小",IF(ABS(J276)&lt;=0.01,"中","大")))</f>
        <v/>
      </c>
      <c r="M276" s="4" t="str">
        <f aca="false">IF(OR(D276="",K276=""),"",IF(D276=K276,"√","×"))</f>
        <v/>
      </c>
      <c r="N276" s="4" t="str">
        <f aca="false">IF(OR(E276="",L276=""),"",IF(E276=L276,"√","×"))</f>
        <v/>
      </c>
      <c r="O276" s="4"/>
      <c r="P276" s="4"/>
      <c r="Q276" s="4"/>
    </row>
    <row r="277" customFormat="false" ht="15" hidden="false" customHeight="true" outlineLevel="0" collapsed="false">
      <c r="A277" s="8"/>
      <c r="B277" s="8"/>
      <c r="C277" s="9"/>
      <c r="D277" s="8"/>
      <c r="E277" s="8"/>
      <c r="F277" s="8"/>
      <c r="G277" s="8"/>
      <c r="H277" s="8"/>
      <c r="I277" s="9"/>
      <c r="J277" s="11" t="str">
        <f aca="false">IF(OR(I277="",C277=""),"",(I277-C277)/C277)</f>
        <v/>
      </c>
      <c r="K277" s="8" t="str">
        <f aca="false">IF(J277="","",IF(J277&gt;0,"涨",IF(J277&lt;0,"跌","平")))</f>
        <v/>
      </c>
      <c r="L277" s="8" t="str">
        <f aca="false">IF(J277="","",IF(ABS(J277)&lt;=0.003,"小",IF(ABS(J277)&lt;=0.01,"中","大")))</f>
        <v/>
      </c>
      <c r="M277" s="8" t="str">
        <f aca="false">IF(OR(D277="",K277=""),"",IF(D277=K277,"√","×"))</f>
        <v/>
      </c>
      <c r="N277" s="8" t="str">
        <f aca="false">IF(OR(E277="",L277=""),"",IF(E277=L277,"√","×"))</f>
        <v/>
      </c>
      <c r="O277" s="8"/>
      <c r="P277" s="8"/>
      <c r="Q277" s="8"/>
    </row>
    <row r="278" customFormat="false" ht="15" hidden="false" customHeight="true" outlineLevel="0" collapsed="false">
      <c r="A278" s="4"/>
      <c r="B278" s="4"/>
      <c r="C278" s="5"/>
      <c r="D278" s="4"/>
      <c r="E278" s="4"/>
      <c r="F278" s="4"/>
      <c r="G278" s="4"/>
      <c r="H278" s="4"/>
      <c r="I278" s="5"/>
      <c r="J278" s="7" t="str">
        <f aca="false">IF(OR(I278="",C278=""),"",(I278-C278)/C278)</f>
        <v/>
      </c>
      <c r="K278" s="4" t="str">
        <f aca="false">IF(J278="","",IF(J278&gt;0,"涨",IF(J278&lt;0,"跌","平")))</f>
        <v/>
      </c>
      <c r="L278" s="4" t="str">
        <f aca="false">IF(J278="","",IF(ABS(J278)&lt;=0.003,"小",IF(ABS(J278)&lt;=0.01,"中","大")))</f>
        <v/>
      </c>
      <c r="M278" s="4" t="str">
        <f aca="false">IF(OR(D278="",K278=""),"",IF(D278=K278,"√","×"))</f>
        <v/>
      </c>
      <c r="N278" s="4" t="str">
        <f aca="false">IF(OR(E278="",L278=""),"",IF(E278=L278,"√","×"))</f>
        <v/>
      </c>
      <c r="O278" s="4"/>
      <c r="P278" s="4"/>
      <c r="Q278" s="4"/>
    </row>
    <row r="279" customFormat="false" ht="15" hidden="false" customHeight="true" outlineLevel="0" collapsed="false">
      <c r="A279" s="8"/>
      <c r="B279" s="8"/>
      <c r="C279" s="9"/>
      <c r="D279" s="8"/>
      <c r="E279" s="8"/>
      <c r="F279" s="8"/>
      <c r="G279" s="8"/>
      <c r="H279" s="8"/>
      <c r="I279" s="9"/>
      <c r="J279" s="11" t="str">
        <f aca="false">IF(OR(I279="",C279=""),"",(I279-C279)/C279)</f>
        <v/>
      </c>
      <c r="K279" s="8" t="str">
        <f aca="false">IF(J279="","",IF(J279&gt;0,"涨",IF(J279&lt;0,"跌","平")))</f>
        <v/>
      </c>
      <c r="L279" s="8" t="str">
        <f aca="false">IF(J279="","",IF(ABS(J279)&lt;=0.003,"小",IF(ABS(J279)&lt;=0.01,"中","大")))</f>
        <v/>
      </c>
      <c r="M279" s="8" t="str">
        <f aca="false">IF(OR(D279="",K279=""),"",IF(D279=K279,"√","×"))</f>
        <v/>
      </c>
      <c r="N279" s="8" t="str">
        <f aca="false">IF(OR(E279="",L279=""),"",IF(E279=L279,"√","×"))</f>
        <v/>
      </c>
      <c r="O279" s="8"/>
      <c r="P279" s="8"/>
      <c r="Q279" s="8"/>
    </row>
    <row r="280" customFormat="false" ht="15" hidden="false" customHeight="true" outlineLevel="0" collapsed="false">
      <c r="A280" s="4"/>
      <c r="B280" s="4"/>
      <c r="C280" s="5"/>
      <c r="D280" s="4"/>
      <c r="E280" s="4"/>
      <c r="F280" s="4"/>
      <c r="G280" s="4"/>
      <c r="H280" s="4"/>
      <c r="I280" s="5"/>
      <c r="J280" s="7" t="str">
        <f aca="false">IF(OR(I280="",C280=""),"",(I280-C280)/C280)</f>
        <v/>
      </c>
      <c r="K280" s="4" t="str">
        <f aca="false">IF(J280="","",IF(J280&gt;0,"涨",IF(J280&lt;0,"跌","平")))</f>
        <v/>
      </c>
      <c r="L280" s="4" t="str">
        <f aca="false">IF(J280="","",IF(ABS(J280)&lt;=0.003,"小",IF(ABS(J280)&lt;=0.01,"中","大")))</f>
        <v/>
      </c>
      <c r="M280" s="4" t="str">
        <f aca="false">IF(OR(D280="",K280=""),"",IF(D280=K280,"√","×"))</f>
        <v/>
      </c>
      <c r="N280" s="4" t="str">
        <f aca="false">IF(OR(E280="",L280=""),"",IF(E280=L280,"√","×"))</f>
        <v/>
      </c>
      <c r="O280" s="4"/>
      <c r="P280" s="4"/>
      <c r="Q280" s="4"/>
    </row>
    <row r="281" customFormat="false" ht="15" hidden="false" customHeight="true" outlineLevel="0" collapsed="false">
      <c r="A281" s="8"/>
      <c r="B281" s="8"/>
      <c r="C281" s="9"/>
      <c r="D281" s="8"/>
      <c r="E281" s="8"/>
      <c r="F281" s="8"/>
      <c r="G281" s="8"/>
      <c r="H281" s="8"/>
      <c r="I281" s="9"/>
      <c r="J281" s="11" t="str">
        <f aca="false">IF(OR(I281="",C281=""),"",(I281-C281)/C281)</f>
        <v/>
      </c>
      <c r="K281" s="8" t="str">
        <f aca="false">IF(J281="","",IF(J281&gt;0,"涨",IF(J281&lt;0,"跌","平")))</f>
        <v/>
      </c>
      <c r="L281" s="8" t="str">
        <f aca="false">IF(J281="","",IF(ABS(J281)&lt;=0.003,"小",IF(ABS(J281)&lt;=0.01,"中","大")))</f>
        <v/>
      </c>
      <c r="M281" s="8" t="str">
        <f aca="false">IF(OR(D281="",K281=""),"",IF(D281=K281,"√","×"))</f>
        <v/>
      </c>
      <c r="N281" s="8" t="str">
        <f aca="false">IF(OR(E281="",L281=""),"",IF(E281=L281,"√","×"))</f>
        <v/>
      </c>
      <c r="O281" s="8"/>
      <c r="P281" s="8"/>
      <c r="Q281" s="8"/>
    </row>
    <row r="282" customFormat="false" ht="15" hidden="false" customHeight="true" outlineLevel="0" collapsed="false">
      <c r="A282" s="4"/>
      <c r="B282" s="4"/>
      <c r="C282" s="5"/>
      <c r="D282" s="4"/>
      <c r="E282" s="4"/>
      <c r="F282" s="4"/>
      <c r="G282" s="4"/>
      <c r="H282" s="4"/>
      <c r="I282" s="5"/>
      <c r="J282" s="7" t="str">
        <f aca="false">IF(OR(I282="",C282=""),"",(I282-C282)/C282)</f>
        <v/>
      </c>
      <c r="K282" s="4" t="str">
        <f aca="false">IF(J282="","",IF(J282&gt;0,"涨",IF(J282&lt;0,"跌","平")))</f>
        <v/>
      </c>
      <c r="L282" s="4" t="str">
        <f aca="false">IF(J282="","",IF(ABS(J282)&lt;=0.003,"小",IF(ABS(J282)&lt;=0.01,"中","大")))</f>
        <v/>
      </c>
      <c r="M282" s="4" t="str">
        <f aca="false">IF(OR(D282="",K282=""),"",IF(D282=K282,"√","×"))</f>
        <v/>
      </c>
      <c r="N282" s="4" t="str">
        <f aca="false">IF(OR(E282="",L282=""),"",IF(E282=L282,"√","×"))</f>
        <v/>
      </c>
      <c r="O282" s="4"/>
      <c r="P282" s="4"/>
      <c r="Q282" s="4"/>
    </row>
    <row r="283" customFormat="false" ht="15" hidden="false" customHeight="true" outlineLevel="0" collapsed="false">
      <c r="A283" s="8"/>
      <c r="B283" s="8"/>
      <c r="C283" s="9"/>
      <c r="D283" s="8"/>
      <c r="E283" s="8"/>
      <c r="F283" s="8"/>
      <c r="G283" s="8"/>
      <c r="H283" s="8"/>
      <c r="I283" s="9"/>
      <c r="J283" s="11" t="str">
        <f aca="false">IF(OR(I283="",C283=""),"",(I283-C283)/C283)</f>
        <v/>
      </c>
      <c r="K283" s="8" t="str">
        <f aca="false">IF(J283="","",IF(J283&gt;0,"涨",IF(J283&lt;0,"跌","平")))</f>
        <v/>
      </c>
      <c r="L283" s="8" t="str">
        <f aca="false">IF(J283="","",IF(ABS(J283)&lt;=0.003,"小",IF(ABS(J283)&lt;=0.01,"中","大")))</f>
        <v/>
      </c>
      <c r="M283" s="8" t="str">
        <f aca="false">IF(OR(D283="",K283=""),"",IF(D283=K283,"√","×"))</f>
        <v/>
      </c>
      <c r="N283" s="8" t="str">
        <f aca="false">IF(OR(E283="",L283=""),"",IF(E283=L283,"√","×"))</f>
        <v/>
      </c>
      <c r="O283" s="8"/>
      <c r="P283" s="8"/>
      <c r="Q283" s="8"/>
    </row>
    <row r="284" customFormat="false" ht="15" hidden="false" customHeight="true" outlineLevel="0" collapsed="false">
      <c r="A284" s="4"/>
      <c r="B284" s="4"/>
      <c r="C284" s="5"/>
      <c r="D284" s="4"/>
      <c r="E284" s="4"/>
      <c r="F284" s="4"/>
      <c r="G284" s="4"/>
      <c r="H284" s="4"/>
      <c r="I284" s="5"/>
      <c r="J284" s="7" t="str">
        <f aca="false">IF(OR(I284="",C284=""),"",(I284-C284)/C284)</f>
        <v/>
      </c>
      <c r="K284" s="4" t="str">
        <f aca="false">IF(J284="","",IF(J284&gt;0,"涨",IF(J284&lt;0,"跌","平")))</f>
        <v/>
      </c>
      <c r="L284" s="4" t="str">
        <f aca="false">IF(J284="","",IF(ABS(J284)&lt;=0.003,"小",IF(ABS(J284)&lt;=0.01,"中","大")))</f>
        <v/>
      </c>
      <c r="M284" s="4" t="str">
        <f aca="false">IF(OR(D284="",K284=""),"",IF(D284=K284,"√","×"))</f>
        <v/>
      </c>
      <c r="N284" s="4" t="str">
        <f aca="false">IF(OR(E284="",L284=""),"",IF(E284=L284,"√","×"))</f>
        <v/>
      </c>
      <c r="O284" s="4"/>
      <c r="P284" s="4"/>
      <c r="Q284" s="4"/>
    </row>
    <row r="285" customFormat="false" ht="15" hidden="false" customHeight="true" outlineLevel="0" collapsed="false">
      <c r="A285" s="8"/>
      <c r="B285" s="8"/>
      <c r="C285" s="9"/>
      <c r="D285" s="8"/>
      <c r="E285" s="8"/>
      <c r="F285" s="8"/>
      <c r="G285" s="8"/>
      <c r="H285" s="8"/>
      <c r="I285" s="9"/>
      <c r="J285" s="11" t="str">
        <f aca="false">IF(OR(I285="",C285=""),"",(I285-C285)/C285)</f>
        <v/>
      </c>
      <c r="K285" s="8" t="str">
        <f aca="false">IF(J285="","",IF(J285&gt;0,"涨",IF(J285&lt;0,"跌","平")))</f>
        <v/>
      </c>
      <c r="L285" s="8" t="str">
        <f aca="false">IF(J285="","",IF(ABS(J285)&lt;=0.003,"小",IF(ABS(J285)&lt;=0.01,"中","大")))</f>
        <v/>
      </c>
      <c r="M285" s="8" t="str">
        <f aca="false">IF(OR(D285="",K285=""),"",IF(D285=K285,"√","×"))</f>
        <v/>
      </c>
      <c r="N285" s="8" t="str">
        <f aca="false">IF(OR(E285="",L285=""),"",IF(E285=L285,"√","×"))</f>
        <v/>
      </c>
      <c r="O285" s="8"/>
      <c r="P285" s="8"/>
      <c r="Q285" s="8"/>
    </row>
    <row r="286" customFormat="false" ht="15" hidden="false" customHeight="true" outlineLevel="0" collapsed="false">
      <c r="A286" s="4"/>
      <c r="B286" s="4"/>
      <c r="C286" s="5"/>
      <c r="D286" s="4"/>
      <c r="E286" s="4"/>
      <c r="F286" s="4"/>
      <c r="G286" s="4"/>
      <c r="H286" s="4"/>
      <c r="I286" s="5"/>
      <c r="J286" s="7" t="str">
        <f aca="false">IF(OR(I286="",C286=""),"",(I286-C286)/C286)</f>
        <v/>
      </c>
      <c r="K286" s="4" t="str">
        <f aca="false">IF(J286="","",IF(J286&gt;0,"涨",IF(J286&lt;0,"跌","平")))</f>
        <v/>
      </c>
      <c r="L286" s="4" t="str">
        <f aca="false">IF(J286="","",IF(ABS(J286)&lt;=0.003,"小",IF(ABS(J286)&lt;=0.01,"中","大")))</f>
        <v/>
      </c>
      <c r="M286" s="4" t="str">
        <f aca="false">IF(OR(D286="",K286=""),"",IF(D286=K286,"√","×"))</f>
        <v/>
      </c>
      <c r="N286" s="4" t="str">
        <f aca="false">IF(OR(E286="",L286=""),"",IF(E286=L286,"√","×"))</f>
        <v/>
      </c>
      <c r="O286" s="4"/>
      <c r="P286" s="4"/>
      <c r="Q286" s="4"/>
    </row>
    <row r="287" customFormat="false" ht="15" hidden="false" customHeight="true" outlineLevel="0" collapsed="false">
      <c r="A287" s="8"/>
      <c r="B287" s="8"/>
      <c r="C287" s="9"/>
      <c r="D287" s="8"/>
      <c r="E287" s="8"/>
      <c r="F287" s="8"/>
      <c r="G287" s="8"/>
      <c r="H287" s="8"/>
      <c r="I287" s="9"/>
      <c r="J287" s="11" t="str">
        <f aca="false">IF(OR(I287="",C287=""),"",(I287-C287)/C287)</f>
        <v/>
      </c>
      <c r="K287" s="8" t="str">
        <f aca="false">IF(J287="","",IF(J287&gt;0,"涨",IF(J287&lt;0,"跌","平")))</f>
        <v/>
      </c>
      <c r="L287" s="8" t="str">
        <f aca="false">IF(J287="","",IF(ABS(J287)&lt;=0.003,"小",IF(ABS(J287)&lt;=0.01,"中","大")))</f>
        <v/>
      </c>
      <c r="M287" s="8" t="str">
        <f aca="false">IF(OR(D287="",K287=""),"",IF(D287=K287,"√","×"))</f>
        <v/>
      </c>
      <c r="N287" s="8" t="str">
        <f aca="false">IF(OR(E287="",L287=""),"",IF(E287=L287,"√","×"))</f>
        <v/>
      </c>
      <c r="O287" s="8"/>
      <c r="P287" s="8"/>
      <c r="Q287" s="8"/>
    </row>
    <row r="288" customFormat="false" ht="15" hidden="false" customHeight="true" outlineLevel="0" collapsed="false">
      <c r="A288" s="4"/>
      <c r="B288" s="4"/>
      <c r="C288" s="5"/>
      <c r="D288" s="4"/>
      <c r="E288" s="4"/>
      <c r="F288" s="4"/>
      <c r="G288" s="4"/>
      <c r="H288" s="4"/>
      <c r="I288" s="5"/>
      <c r="J288" s="7" t="str">
        <f aca="false">IF(OR(I288="",C288=""),"",(I288-C288)/C288)</f>
        <v/>
      </c>
      <c r="K288" s="4" t="str">
        <f aca="false">IF(J288="","",IF(J288&gt;0,"涨",IF(J288&lt;0,"跌","平")))</f>
        <v/>
      </c>
      <c r="L288" s="4" t="str">
        <f aca="false">IF(J288="","",IF(ABS(J288)&lt;=0.003,"小",IF(ABS(J288)&lt;=0.01,"中","大")))</f>
        <v/>
      </c>
      <c r="M288" s="4" t="str">
        <f aca="false">IF(OR(D288="",K288=""),"",IF(D288=K288,"√","×"))</f>
        <v/>
      </c>
      <c r="N288" s="4" t="str">
        <f aca="false">IF(OR(E288="",L288=""),"",IF(E288=L288,"√","×"))</f>
        <v/>
      </c>
      <c r="O288" s="4"/>
      <c r="P288" s="4"/>
      <c r="Q288" s="4"/>
    </row>
    <row r="289" customFormat="false" ht="15" hidden="false" customHeight="true" outlineLevel="0" collapsed="false">
      <c r="A289" s="8"/>
      <c r="B289" s="8"/>
      <c r="C289" s="9"/>
      <c r="D289" s="8"/>
      <c r="E289" s="8"/>
      <c r="F289" s="8"/>
      <c r="G289" s="8"/>
      <c r="H289" s="8"/>
      <c r="I289" s="9"/>
      <c r="J289" s="11" t="str">
        <f aca="false">IF(OR(I289="",C289=""),"",(I289-C289)/C289)</f>
        <v/>
      </c>
      <c r="K289" s="8" t="str">
        <f aca="false">IF(J289="","",IF(J289&gt;0,"涨",IF(J289&lt;0,"跌","平")))</f>
        <v/>
      </c>
      <c r="L289" s="8" t="str">
        <f aca="false">IF(J289="","",IF(ABS(J289)&lt;=0.003,"小",IF(ABS(J289)&lt;=0.01,"中","大")))</f>
        <v/>
      </c>
      <c r="M289" s="8" t="str">
        <f aca="false">IF(OR(D289="",K289=""),"",IF(D289=K289,"√","×"))</f>
        <v/>
      </c>
      <c r="N289" s="8" t="str">
        <f aca="false">IF(OR(E289="",L289=""),"",IF(E289=L289,"√","×"))</f>
        <v/>
      </c>
      <c r="O289" s="8"/>
      <c r="P289" s="8"/>
      <c r="Q289" s="8"/>
    </row>
    <row r="290" customFormat="false" ht="15" hidden="false" customHeight="true" outlineLevel="0" collapsed="false">
      <c r="A290" s="4"/>
      <c r="B290" s="4"/>
      <c r="C290" s="5"/>
      <c r="D290" s="4"/>
      <c r="E290" s="4"/>
      <c r="F290" s="4"/>
      <c r="G290" s="4"/>
      <c r="H290" s="4"/>
      <c r="I290" s="5"/>
      <c r="J290" s="7" t="str">
        <f aca="false">IF(OR(I290="",C290=""),"",(I290-C290)/C290)</f>
        <v/>
      </c>
      <c r="K290" s="4" t="str">
        <f aca="false">IF(J290="","",IF(J290&gt;0,"涨",IF(J290&lt;0,"跌","平")))</f>
        <v/>
      </c>
      <c r="L290" s="4" t="str">
        <f aca="false">IF(J290="","",IF(ABS(J290)&lt;=0.003,"小",IF(ABS(J290)&lt;=0.01,"中","大")))</f>
        <v/>
      </c>
      <c r="M290" s="4" t="str">
        <f aca="false">IF(OR(D290="",K290=""),"",IF(D290=K290,"√","×"))</f>
        <v/>
      </c>
      <c r="N290" s="4" t="str">
        <f aca="false">IF(OR(E290="",L290=""),"",IF(E290=L290,"√","×"))</f>
        <v/>
      </c>
      <c r="O290" s="4"/>
      <c r="P290" s="4"/>
      <c r="Q290" s="4"/>
    </row>
    <row r="291" customFormat="false" ht="15" hidden="false" customHeight="true" outlineLevel="0" collapsed="false">
      <c r="A291" s="8"/>
      <c r="B291" s="8"/>
      <c r="C291" s="9"/>
      <c r="D291" s="8"/>
      <c r="E291" s="8"/>
      <c r="F291" s="8"/>
      <c r="G291" s="8"/>
      <c r="H291" s="8"/>
      <c r="I291" s="9"/>
      <c r="J291" s="11" t="str">
        <f aca="false">IF(OR(I291="",C291=""),"",(I291-C291)/C291)</f>
        <v/>
      </c>
      <c r="K291" s="8" t="str">
        <f aca="false">IF(J291="","",IF(J291&gt;0,"涨",IF(J291&lt;0,"跌","平")))</f>
        <v/>
      </c>
      <c r="L291" s="8" t="str">
        <f aca="false">IF(J291="","",IF(ABS(J291)&lt;=0.003,"小",IF(ABS(J291)&lt;=0.01,"中","大")))</f>
        <v/>
      </c>
      <c r="M291" s="8" t="str">
        <f aca="false">IF(OR(D291="",K291=""),"",IF(D291=K291,"√","×"))</f>
        <v/>
      </c>
      <c r="N291" s="8" t="str">
        <f aca="false">IF(OR(E291="",L291=""),"",IF(E291=L291,"√","×"))</f>
        <v/>
      </c>
      <c r="O291" s="8"/>
      <c r="P291" s="8"/>
      <c r="Q291" s="8"/>
    </row>
    <row r="292" customFormat="false" ht="15" hidden="false" customHeight="true" outlineLevel="0" collapsed="false">
      <c r="A292" s="4"/>
      <c r="B292" s="4"/>
      <c r="C292" s="5"/>
      <c r="D292" s="4"/>
      <c r="E292" s="4"/>
      <c r="F292" s="4"/>
      <c r="G292" s="4"/>
      <c r="H292" s="4"/>
      <c r="I292" s="5"/>
      <c r="J292" s="7" t="str">
        <f aca="false">IF(OR(I292="",C292=""),"",(I292-C292)/C292)</f>
        <v/>
      </c>
      <c r="K292" s="4" t="str">
        <f aca="false">IF(J292="","",IF(J292&gt;0,"涨",IF(J292&lt;0,"跌","平")))</f>
        <v/>
      </c>
      <c r="L292" s="4" t="str">
        <f aca="false">IF(J292="","",IF(ABS(J292)&lt;=0.003,"小",IF(ABS(J292)&lt;=0.01,"中","大")))</f>
        <v/>
      </c>
      <c r="M292" s="4" t="str">
        <f aca="false">IF(OR(D292="",K292=""),"",IF(D292=K292,"√","×"))</f>
        <v/>
      </c>
      <c r="N292" s="4" t="str">
        <f aca="false">IF(OR(E292="",L292=""),"",IF(E292=L292,"√","×"))</f>
        <v/>
      </c>
      <c r="O292" s="4"/>
      <c r="P292" s="4"/>
      <c r="Q292" s="4"/>
    </row>
    <row r="293" customFormat="false" ht="15" hidden="false" customHeight="true" outlineLevel="0" collapsed="false">
      <c r="A293" s="8"/>
      <c r="B293" s="8"/>
      <c r="C293" s="9"/>
      <c r="D293" s="8"/>
      <c r="E293" s="8"/>
      <c r="F293" s="8"/>
      <c r="G293" s="8"/>
      <c r="H293" s="8"/>
      <c r="I293" s="9"/>
      <c r="J293" s="11" t="str">
        <f aca="false">IF(OR(I293="",C293=""),"",(I293-C293)/C293)</f>
        <v/>
      </c>
      <c r="K293" s="8" t="str">
        <f aca="false">IF(J293="","",IF(J293&gt;0,"涨",IF(J293&lt;0,"跌","平")))</f>
        <v/>
      </c>
      <c r="L293" s="8" t="str">
        <f aca="false">IF(J293="","",IF(ABS(J293)&lt;=0.003,"小",IF(ABS(J293)&lt;=0.01,"中","大")))</f>
        <v/>
      </c>
      <c r="M293" s="8" t="str">
        <f aca="false">IF(OR(D293="",K293=""),"",IF(D293=K293,"√","×"))</f>
        <v/>
      </c>
      <c r="N293" s="8" t="str">
        <f aca="false">IF(OR(E293="",L293=""),"",IF(E293=L293,"√","×"))</f>
        <v/>
      </c>
      <c r="O293" s="8"/>
      <c r="P293" s="8"/>
      <c r="Q293" s="8"/>
    </row>
    <row r="294" customFormat="false" ht="15" hidden="false" customHeight="true" outlineLevel="0" collapsed="false">
      <c r="A294" s="4"/>
      <c r="B294" s="4"/>
      <c r="C294" s="5"/>
      <c r="D294" s="4"/>
      <c r="E294" s="4"/>
      <c r="F294" s="4"/>
      <c r="G294" s="4"/>
      <c r="H294" s="4"/>
      <c r="I294" s="5"/>
      <c r="J294" s="7" t="str">
        <f aca="false">IF(OR(I294="",C294=""),"",(I294-C294)/C294)</f>
        <v/>
      </c>
      <c r="K294" s="4" t="str">
        <f aca="false">IF(J294="","",IF(J294&gt;0,"涨",IF(J294&lt;0,"跌","平")))</f>
        <v/>
      </c>
      <c r="L294" s="4" t="str">
        <f aca="false">IF(J294="","",IF(ABS(J294)&lt;=0.003,"小",IF(ABS(J294)&lt;=0.01,"中","大")))</f>
        <v/>
      </c>
      <c r="M294" s="4" t="str">
        <f aca="false">IF(OR(D294="",K294=""),"",IF(D294=K294,"√","×"))</f>
        <v/>
      </c>
      <c r="N294" s="4" t="str">
        <f aca="false">IF(OR(E294="",L294=""),"",IF(E294=L294,"√","×"))</f>
        <v/>
      </c>
      <c r="O294" s="4"/>
      <c r="P294" s="4"/>
      <c r="Q294" s="4"/>
    </row>
    <row r="295" customFormat="false" ht="15" hidden="false" customHeight="true" outlineLevel="0" collapsed="false">
      <c r="A295" s="8"/>
      <c r="B295" s="8"/>
      <c r="C295" s="9"/>
      <c r="D295" s="8"/>
      <c r="E295" s="8"/>
      <c r="F295" s="8"/>
      <c r="G295" s="8"/>
      <c r="H295" s="8"/>
      <c r="I295" s="9"/>
      <c r="J295" s="11" t="str">
        <f aca="false">IF(OR(I295="",C295=""),"",(I295-C295)/C295)</f>
        <v/>
      </c>
      <c r="K295" s="8" t="str">
        <f aca="false">IF(J295="","",IF(J295&gt;0,"涨",IF(J295&lt;0,"跌","平")))</f>
        <v/>
      </c>
      <c r="L295" s="8" t="str">
        <f aca="false">IF(J295="","",IF(ABS(J295)&lt;=0.003,"小",IF(ABS(J295)&lt;=0.01,"中","大")))</f>
        <v/>
      </c>
      <c r="M295" s="8" t="str">
        <f aca="false">IF(OR(D295="",K295=""),"",IF(D295=K295,"√","×"))</f>
        <v/>
      </c>
      <c r="N295" s="8" t="str">
        <f aca="false">IF(OR(E295="",L295=""),"",IF(E295=L295,"√","×"))</f>
        <v/>
      </c>
      <c r="O295" s="8"/>
      <c r="P295" s="8"/>
      <c r="Q295" s="8"/>
    </row>
    <row r="296" customFormat="false" ht="15" hidden="false" customHeight="true" outlineLevel="0" collapsed="false">
      <c r="A296" s="4"/>
      <c r="B296" s="4"/>
      <c r="C296" s="5"/>
      <c r="D296" s="4"/>
      <c r="E296" s="4"/>
      <c r="F296" s="4"/>
      <c r="G296" s="4"/>
      <c r="H296" s="4"/>
      <c r="I296" s="5"/>
      <c r="J296" s="7" t="str">
        <f aca="false">IF(OR(I296="",C296=""),"",(I296-C296)/C296)</f>
        <v/>
      </c>
      <c r="K296" s="4" t="str">
        <f aca="false">IF(J296="","",IF(J296&gt;0,"涨",IF(J296&lt;0,"跌","平")))</f>
        <v/>
      </c>
      <c r="L296" s="4" t="str">
        <f aca="false">IF(J296="","",IF(ABS(J296)&lt;=0.003,"小",IF(ABS(J296)&lt;=0.01,"中","大")))</f>
        <v/>
      </c>
      <c r="M296" s="4" t="str">
        <f aca="false">IF(OR(D296="",K296=""),"",IF(D296=K296,"√","×"))</f>
        <v/>
      </c>
      <c r="N296" s="4" t="str">
        <f aca="false">IF(OR(E296="",L296=""),"",IF(E296=L296,"√","×"))</f>
        <v/>
      </c>
      <c r="O296" s="4"/>
      <c r="P296" s="4"/>
      <c r="Q296" s="4"/>
    </row>
    <row r="297" customFormat="false" ht="15" hidden="false" customHeight="true" outlineLevel="0" collapsed="false">
      <c r="A297" s="8"/>
      <c r="B297" s="8"/>
      <c r="C297" s="9"/>
      <c r="D297" s="8"/>
      <c r="E297" s="8"/>
      <c r="F297" s="8"/>
      <c r="G297" s="8"/>
      <c r="H297" s="8"/>
      <c r="I297" s="9"/>
      <c r="J297" s="11" t="str">
        <f aca="false">IF(OR(I297="",C297=""),"",(I297-C297)/C297)</f>
        <v/>
      </c>
      <c r="K297" s="8" t="str">
        <f aca="false">IF(J297="","",IF(J297&gt;0,"涨",IF(J297&lt;0,"跌","平")))</f>
        <v/>
      </c>
      <c r="L297" s="8" t="str">
        <f aca="false">IF(J297="","",IF(ABS(J297)&lt;=0.003,"小",IF(ABS(J297)&lt;=0.01,"中","大")))</f>
        <v/>
      </c>
      <c r="M297" s="8" t="str">
        <f aca="false">IF(OR(D297="",K297=""),"",IF(D297=K297,"√","×"))</f>
        <v/>
      </c>
      <c r="N297" s="8" t="str">
        <f aca="false">IF(OR(E297="",L297=""),"",IF(E297=L297,"√","×"))</f>
        <v/>
      </c>
      <c r="O297" s="8"/>
      <c r="P297" s="8"/>
      <c r="Q297" s="8"/>
    </row>
    <row r="298" customFormat="false" ht="15" hidden="false" customHeight="true" outlineLevel="0" collapsed="false">
      <c r="A298" s="4"/>
      <c r="B298" s="4"/>
      <c r="C298" s="5"/>
      <c r="D298" s="4"/>
      <c r="E298" s="4"/>
      <c r="F298" s="4"/>
      <c r="G298" s="4"/>
      <c r="H298" s="4"/>
      <c r="I298" s="5"/>
      <c r="J298" s="7" t="str">
        <f aca="false">IF(OR(I298="",C298=""),"",(I298-C298)/C298)</f>
        <v/>
      </c>
      <c r="K298" s="4" t="str">
        <f aca="false">IF(J298="","",IF(J298&gt;0,"涨",IF(J298&lt;0,"跌","平")))</f>
        <v/>
      </c>
      <c r="L298" s="4" t="str">
        <f aca="false">IF(J298="","",IF(ABS(J298)&lt;=0.003,"小",IF(ABS(J298)&lt;=0.01,"中","大")))</f>
        <v/>
      </c>
      <c r="M298" s="4" t="str">
        <f aca="false">IF(OR(D298="",K298=""),"",IF(D298=K298,"√","×"))</f>
        <v/>
      </c>
      <c r="N298" s="4" t="str">
        <f aca="false">IF(OR(E298="",L298=""),"",IF(E298=L298,"√","×"))</f>
        <v/>
      </c>
      <c r="O298" s="4"/>
      <c r="P298" s="4"/>
      <c r="Q298" s="4"/>
    </row>
    <row r="299" customFormat="false" ht="15" hidden="false" customHeight="true" outlineLevel="0" collapsed="false">
      <c r="A299" s="8"/>
      <c r="B299" s="8"/>
      <c r="C299" s="9"/>
      <c r="D299" s="8"/>
      <c r="E299" s="8"/>
      <c r="F299" s="8"/>
      <c r="G299" s="8"/>
      <c r="H299" s="8"/>
      <c r="I299" s="9"/>
      <c r="J299" s="11" t="str">
        <f aca="false">IF(OR(I299="",C299=""),"",(I299-C299)/C299)</f>
        <v/>
      </c>
      <c r="K299" s="8" t="str">
        <f aca="false">IF(J299="","",IF(J299&gt;0,"涨",IF(J299&lt;0,"跌","平")))</f>
        <v/>
      </c>
      <c r="L299" s="8" t="str">
        <f aca="false">IF(J299="","",IF(ABS(J299)&lt;=0.003,"小",IF(ABS(J299)&lt;=0.01,"中","大")))</f>
        <v/>
      </c>
      <c r="M299" s="8" t="str">
        <f aca="false">IF(OR(D299="",K299=""),"",IF(D299=K299,"√","×"))</f>
        <v/>
      </c>
      <c r="N299" s="8" t="str">
        <f aca="false">IF(OR(E299="",L299=""),"",IF(E299=L299,"√","×"))</f>
        <v/>
      </c>
      <c r="O299" s="8"/>
      <c r="P299" s="8"/>
      <c r="Q299" s="8"/>
    </row>
    <row r="300" customFormat="false" ht="15" hidden="false" customHeight="true" outlineLevel="0" collapsed="false">
      <c r="A300" s="4"/>
      <c r="B300" s="4"/>
      <c r="C300" s="5"/>
      <c r="D300" s="4"/>
      <c r="E300" s="4"/>
      <c r="F300" s="4"/>
      <c r="G300" s="4"/>
      <c r="H300" s="4"/>
      <c r="I300" s="5"/>
      <c r="J300" s="7" t="str">
        <f aca="false">IF(OR(I300="",C300=""),"",(I300-C300)/C300)</f>
        <v/>
      </c>
      <c r="K300" s="4" t="str">
        <f aca="false">IF(J300="","",IF(J300&gt;0,"涨",IF(J300&lt;0,"跌","平")))</f>
        <v/>
      </c>
      <c r="L300" s="4" t="str">
        <f aca="false">IF(J300="","",IF(ABS(J300)&lt;=0.003,"小",IF(ABS(J300)&lt;=0.01,"中","大")))</f>
        <v/>
      </c>
      <c r="M300" s="4" t="str">
        <f aca="false">IF(OR(D300="",K300=""),"",IF(D300=K300,"√","×"))</f>
        <v/>
      </c>
      <c r="N300" s="4" t="str">
        <f aca="false">IF(OR(E300="",L300=""),"",IF(E300=L300,"√","×"))</f>
        <v/>
      </c>
      <c r="O300" s="4"/>
      <c r="P300" s="4"/>
      <c r="Q300" s="4"/>
    </row>
    <row r="301" customFormat="false" ht="15" hidden="false" customHeight="true" outlineLevel="0" collapsed="false">
      <c r="A301" s="8"/>
      <c r="B301" s="8"/>
      <c r="C301" s="9"/>
      <c r="D301" s="8"/>
      <c r="E301" s="8"/>
      <c r="F301" s="8"/>
      <c r="G301" s="8"/>
      <c r="H301" s="8"/>
      <c r="I301" s="9"/>
      <c r="J301" s="11" t="str">
        <f aca="false">IF(OR(I301="",C301=""),"",(I301-C301)/C301)</f>
        <v/>
      </c>
      <c r="K301" s="8" t="str">
        <f aca="false">IF(J301="","",IF(J301&gt;0,"涨",IF(J301&lt;0,"跌","平")))</f>
        <v/>
      </c>
      <c r="L301" s="8" t="str">
        <f aca="false">IF(J301="","",IF(ABS(J301)&lt;=0.003,"小",IF(ABS(J301)&lt;=0.01,"中","大")))</f>
        <v/>
      </c>
      <c r="M301" s="8" t="str">
        <f aca="false">IF(OR(D301="",K301=""),"",IF(D301=K301,"√","×"))</f>
        <v/>
      </c>
      <c r="N301" s="8" t="str">
        <f aca="false">IF(OR(E301="",L301=""),"",IF(E301=L301,"√","×"))</f>
        <v/>
      </c>
      <c r="O301" s="8"/>
      <c r="P301" s="8"/>
      <c r="Q301" s="8"/>
    </row>
    <row r="302" customFormat="false" ht="15" hidden="false" customHeight="true" outlineLevel="0" collapsed="false">
      <c r="A302" s="4"/>
      <c r="B302" s="4"/>
      <c r="C302" s="5"/>
      <c r="D302" s="4"/>
      <c r="E302" s="4"/>
      <c r="F302" s="4"/>
      <c r="G302" s="4"/>
      <c r="H302" s="4"/>
      <c r="I302" s="5"/>
      <c r="J302" s="7" t="str">
        <f aca="false">IF(OR(I302="",C302=""),"",(I302-C302)/C302)</f>
        <v/>
      </c>
      <c r="K302" s="4" t="str">
        <f aca="false">IF(J302="","",IF(J302&gt;0,"涨",IF(J302&lt;0,"跌","平")))</f>
        <v/>
      </c>
      <c r="L302" s="4" t="str">
        <f aca="false">IF(J302="","",IF(ABS(J302)&lt;=0.003,"小",IF(ABS(J302)&lt;=0.01,"中","大")))</f>
        <v/>
      </c>
      <c r="M302" s="4" t="str">
        <f aca="false">IF(OR(D302="",K302=""),"",IF(D302=K302,"√","×"))</f>
        <v/>
      </c>
      <c r="N302" s="4" t="str">
        <f aca="false">IF(OR(E302="",L302=""),"",IF(E302=L302,"√","×"))</f>
        <v/>
      </c>
      <c r="O302" s="4"/>
      <c r="P302" s="4"/>
      <c r="Q302" s="4"/>
    </row>
    <row r="303" customFormat="false" ht="15" hidden="false" customHeight="true" outlineLevel="0" collapsed="false">
      <c r="A303" s="8"/>
      <c r="B303" s="8"/>
      <c r="C303" s="9"/>
      <c r="D303" s="8"/>
      <c r="E303" s="8"/>
      <c r="F303" s="8"/>
      <c r="G303" s="8"/>
      <c r="H303" s="8"/>
      <c r="I303" s="9"/>
      <c r="J303" s="11" t="str">
        <f aca="false">IF(OR(I303="",C303=""),"",(I303-C303)/C303)</f>
        <v/>
      </c>
      <c r="K303" s="8" t="str">
        <f aca="false">IF(J303="","",IF(J303&gt;0,"涨",IF(J303&lt;0,"跌","平")))</f>
        <v/>
      </c>
      <c r="L303" s="8" t="str">
        <f aca="false">IF(J303="","",IF(ABS(J303)&lt;=0.003,"小",IF(ABS(J303)&lt;=0.01,"中","大")))</f>
        <v/>
      </c>
      <c r="M303" s="8" t="str">
        <f aca="false">IF(OR(D303="",K303=""),"",IF(D303=K303,"√","×"))</f>
        <v/>
      </c>
      <c r="N303" s="8" t="str">
        <f aca="false">IF(OR(E303="",L303=""),"",IF(E303=L303,"√","×"))</f>
        <v/>
      </c>
      <c r="O303" s="8"/>
      <c r="P303" s="8"/>
      <c r="Q303" s="8"/>
    </row>
    <row r="304" customFormat="false" ht="15" hidden="false" customHeight="true" outlineLevel="0" collapsed="false">
      <c r="A304" s="4"/>
      <c r="B304" s="4"/>
      <c r="C304" s="5"/>
      <c r="D304" s="4"/>
      <c r="E304" s="4"/>
      <c r="F304" s="4"/>
      <c r="G304" s="4"/>
      <c r="H304" s="4"/>
      <c r="I304" s="5"/>
      <c r="J304" s="7" t="str">
        <f aca="false">IF(OR(I304="",C304=""),"",(I304-C304)/C304)</f>
        <v/>
      </c>
      <c r="K304" s="4" t="str">
        <f aca="false">IF(J304="","",IF(J304&gt;0,"涨",IF(J304&lt;0,"跌","平")))</f>
        <v/>
      </c>
      <c r="L304" s="4" t="str">
        <f aca="false">IF(J304="","",IF(ABS(J304)&lt;=0.003,"小",IF(ABS(J304)&lt;=0.01,"中","大")))</f>
        <v/>
      </c>
      <c r="M304" s="4" t="str">
        <f aca="false">IF(OR(D304="",K304=""),"",IF(D304=K304,"√","×"))</f>
        <v/>
      </c>
      <c r="N304" s="4" t="str">
        <f aca="false">IF(OR(E304="",L304=""),"",IF(E304=L304,"√","×"))</f>
        <v/>
      </c>
      <c r="O304" s="4"/>
      <c r="P304" s="4"/>
      <c r="Q304" s="4"/>
    </row>
    <row r="305" customFormat="false" ht="15" hidden="false" customHeight="true" outlineLevel="0" collapsed="false">
      <c r="A305" s="8"/>
      <c r="B305" s="8"/>
      <c r="C305" s="9"/>
      <c r="D305" s="8"/>
      <c r="E305" s="8"/>
      <c r="F305" s="8"/>
      <c r="G305" s="8"/>
      <c r="H305" s="8"/>
      <c r="I305" s="9"/>
      <c r="J305" s="11" t="str">
        <f aca="false">IF(OR(I305="",C305=""),"",(I305-C305)/C305)</f>
        <v/>
      </c>
      <c r="K305" s="8" t="str">
        <f aca="false">IF(J305="","",IF(J305&gt;0,"涨",IF(J305&lt;0,"跌","平")))</f>
        <v/>
      </c>
      <c r="L305" s="8" t="str">
        <f aca="false">IF(J305="","",IF(ABS(J305)&lt;=0.003,"小",IF(ABS(J305)&lt;=0.01,"中","大")))</f>
        <v/>
      </c>
      <c r="M305" s="8" t="str">
        <f aca="false">IF(OR(D305="",K305=""),"",IF(D305=K305,"√","×"))</f>
        <v/>
      </c>
      <c r="N305" s="8" t="str">
        <f aca="false">IF(OR(E305="",L305=""),"",IF(E305=L305,"√","×"))</f>
        <v/>
      </c>
      <c r="O305" s="8"/>
      <c r="P305" s="8"/>
      <c r="Q305" s="8"/>
    </row>
    <row r="306" customFormat="false" ht="15" hidden="false" customHeight="true" outlineLevel="0" collapsed="false">
      <c r="A306" s="4"/>
      <c r="B306" s="4"/>
      <c r="C306" s="5"/>
      <c r="D306" s="4"/>
      <c r="E306" s="4"/>
      <c r="F306" s="4"/>
      <c r="G306" s="4"/>
      <c r="H306" s="4"/>
      <c r="I306" s="5"/>
      <c r="J306" s="7" t="str">
        <f aca="false">IF(OR(I306="",C306=""),"",(I306-C306)/C306)</f>
        <v/>
      </c>
      <c r="K306" s="4" t="str">
        <f aca="false">IF(J306="","",IF(J306&gt;0,"涨",IF(J306&lt;0,"跌","平")))</f>
        <v/>
      </c>
      <c r="L306" s="4" t="str">
        <f aca="false">IF(J306="","",IF(ABS(J306)&lt;=0.003,"小",IF(ABS(J306)&lt;=0.01,"中","大")))</f>
        <v/>
      </c>
      <c r="M306" s="4" t="str">
        <f aca="false">IF(OR(D306="",K306=""),"",IF(D306=K306,"√","×"))</f>
        <v/>
      </c>
      <c r="N306" s="4" t="str">
        <f aca="false">IF(OR(E306="",L306=""),"",IF(E306=L306,"√","×"))</f>
        <v/>
      </c>
      <c r="O306" s="4"/>
      <c r="P306" s="4"/>
      <c r="Q306" s="4"/>
    </row>
    <row r="307" customFormat="false" ht="15" hidden="false" customHeight="true" outlineLevel="0" collapsed="false">
      <c r="A307" s="8"/>
      <c r="B307" s="8"/>
      <c r="C307" s="9"/>
      <c r="D307" s="8"/>
      <c r="E307" s="8"/>
      <c r="F307" s="8"/>
      <c r="G307" s="8"/>
      <c r="H307" s="8"/>
      <c r="I307" s="9"/>
      <c r="J307" s="11" t="str">
        <f aca="false">IF(OR(I307="",C307=""),"",(I307-C307)/C307)</f>
        <v/>
      </c>
      <c r="K307" s="8" t="str">
        <f aca="false">IF(J307="","",IF(J307&gt;0,"涨",IF(J307&lt;0,"跌","平")))</f>
        <v/>
      </c>
      <c r="L307" s="8" t="str">
        <f aca="false">IF(J307="","",IF(ABS(J307)&lt;=0.003,"小",IF(ABS(J307)&lt;=0.01,"中","大")))</f>
        <v/>
      </c>
      <c r="M307" s="8" t="str">
        <f aca="false">IF(OR(D307="",K307=""),"",IF(D307=K307,"√","×"))</f>
        <v/>
      </c>
      <c r="N307" s="8" t="str">
        <f aca="false">IF(OR(E307="",L307=""),"",IF(E307=L307,"√","×"))</f>
        <v/>
      </c>
      <c r="O307" s="8"/>
      <c r="P307" s="8"/>
      <c r="Q307" s="8"/>
    </row>
    <row r="308" customFormat="false" ht="15" hidden="false" customHeight="true" outlineLevel="0" collapsed="false">
      <c r="A308" s="4"/>
      <c r="B308" s="4"/>
      <c r="C308" s="5"/>
      <c r="D308" s="4"/>
      <c r="E308" s="4"/>
      <c r="F308" s="4"/>
      <c r="G308" s="4"/>
      <c r="H308" s="4"/>
      <c r="I308" s="5"/>
      <c r="J308" s="7" t="str">
        <f aca="false">IF(OR(I308="",C308=""),"",(I308-C308)/C308)</f>
        <v/>
      </c>
      <c r="K308" s="4" t="str">
        <f aca="false">IF(J308="","",IF(J308&gt;0,"涨",IF(J308&lt;0,"跌","平")))</f>
        <v/>
      </c>
      <c r="L308" s="4" t="str">
        <f aca="false">IF(J308="","",IF(ABS(J308)&lt;=0.003,"小",IF(ABS(J308)&lt;=0.01,"中","大")))</f>
        <v/>
      </c>
      <c r="M308" s="4" t="str">
        <f aca="false">IF(OR(D308="",K308=""),"",IF(D308=K308,"√","×"))</f>
        <v/>
      </c>
      <c r="N308" s="4" t="str">
        <f aca="false">IF(OR(E308="",L308=""),"",IF(E308=L308,"√","×"))</f>
        <v/>
      </c>
      <c r="O308" s="4"/>
      <c r="P308" s="4"/>
      <c r="Q308" s="4"/>
    </row>
    <row r="309" customFormat="false" ht="15" hidden="false" customHeight="true" outlineLevel="0" collapsed="false">
      <c r="A309" s="8"/>
      <c r="B309" s="8"/>
      <c r="C309" s="9"/>
      <c r="D309" s="8"/>
      <c r="E309" s="8"/>
      <c r="F309" s="8"/>
      <c r="G309" s="8"/>
      <c r="H309" s="8"/>
      <c r="I309" s="9"/>
      <c r="J309" s="11" t="str">
        <f aca="false">IF(OR(I309="",C309=""),"",(I309-C309)/C309)</f>
        <v/>
      </c>
      <c r="K309" s="8" t="str">
        <f aca="false">IF(J309="","",IF(J309&gt;0,"涨",IF(J309&lt;0,"跌","平")))</f>
        <v/>
      </c>
      <c r="L309" s="8" t="str">
        <f aca="false">IF(J309="","",IF(ABS(J309)&lt;=0.003,"小",IF(ABS(J309)&lt;=0.01,"中","大")))</f>
        <v/>
      </c>
      <c r="M309" s="8" t="str">
        <f aca="false">IF(OR(D309="",K309=""),"",IF(D309=K309,"√","×"))</f>
        <v/>
      </c>
      <c r="N309" s="8" t="str">
        <f aca="false">IF(OR(E309="",L309=""),"",IF(E309=L309,"√","×"))</f>
        <v/>
      </c>
      <c r="O309" s="8"/>
      <c r="P309" s="8"/>
      <c r="Q309" s="8"/>
    </row>
    <row r="310" customFormat="false" ht="15" hidden="false" customHeight="true" outlineLevel="0" collapsed="false">
      <c r="A310" s="4"/>
      <c r="B310" s="4"/>
      <c r="C310" s="5"/>
      <c r="D310" s="4"/>
      <c r="E310" s="4"/>
      <c r="F310" s="4"/>
      <c r="G310" s="4"/>
      <c r="H310" s="4"/>
      <c r="I310" s="5"/>
      <c r="J310" s="7" t="str">
        <f aca="false">IF(OR(I310="",C310=""),"",(I310-C310)/C310)</f>
        <v/>
      </c>
      <c r="K310" s="4" t="str">
        <f aca="false">IF(J310="","",IF(J310&gt;0,"涨",IF(J310&lt;0,"跌","平")))</f>
        <v/>
      </c>
      <c r="L310" s="4" t="str">
        <f aca="false">IF(J310="","",IF(ABS(J310)&lt;=0.003,"小",IF(ABS(J310)&lt;=0.01,"中","大")))</f>
        <v/>
      </c>
      <c r="M310" s="4" t="str">
        <f aca="false">IF(OR(D310="",K310=""),"",IF(D310=K310,"√","×"))</f>
        <v/>
      </c>
      <c r="N310" s="4" t="str">
        <f aca="false">IF(OR(E310="",L310=""),"",IF(E310=L310,"√","×"))</f>
        <v/>
      </c>
      <c r="O310" s="4"/>
      <c r="P310" s="4"/>
      <c r="Q310" s="4"/>
    </row>
    <row r="311" customFormat="false" ht="15" hidden="false" customHeight="true" outlineLevel="0" collapsed="false">
      <c r="A311" s="8"/>
      <c r="B311" s="8"/>
      <c r="C311" s="9"/>
      <c r="D311" s="8"/>
      <c r="E311" s="8"/>
      <c r="F311" s="8"/>
      <c r="G311" s="8"/>
      <c r="H311" s="8"/>
      <c r="I311" s="9"/>
      <c r="J311" s="11" t="str">
        <f aca="false">IF(OR(I311="",C311=""),"",(I311-C311)/C311)</f>
        <v/>
      </c>
      <c r="K311" s="8" t="str">
        <f aca="false">IF(J311="","",IF(J311&gt;0,"涨",IF(J311&lt;0,"跌","平")))</f>
        <v/>
      </c>
      <c r="L311" s="8" t="str">
        <f aca="false">IF(J311="","",IF(ABS(J311)&lt;=0.003,"小",IF(ABS(J311)&lt;=0.01,"中","大")))</f>
        <v/>
      </c>
      <c r="M311" s="8" t="str">
        <f aca="false">IF(OR(D311="",K311=""),"",IF(D311=K311,"√","×"))</f>
        <v/>
      </c>
      <c r="N311" s="8" t="str">
        <f aca="false">IF(OR(E311="",L311=""),"",IF(E311=L311,"√","×"))</f>
        <v/>
      </c>
      <c r="O311" s="8"/>
      <c r="P311" s="8"/>
      <c r="Q311" s="8"/>
    </row>
    <row r="312" customFormat="false" ht="15" hidden="false" customHeight="true" outlineLevel="0" collapsed="false">
      <c r="A312" s="4"/>
      <c r="B312" s="4"/>
      <c r="C312" s="5"/>
      <c r="D312" s="4"/>
      <c r="E312" s="4"/>
      <c r="F312" s="4"/>
      <c r="G312" s="4"/>
      <c r="H312" s="4"/>
      <c r="I312" s="5"/>
      <c r="J312" s="7" t="str">
        <f aca="false">IF(OR(I312="",C312=""),"",(I312-C312)/C312)</f>
        <v/>
      </c>
      <c r="K312" s="4" t="str">
        <f aca="false">IF(J312="","",IF(J312&gt;0,"涨",IF(J312&lt;0,"跌","平")))</f>
        <v/>
      </c>
      <c r="L312" s="4" t="str">
        <f aca="false">IF(J312="","",IF(ABS(J312)&lt;=0.003,"小",IF(ABS(J312)&lt;=0.01,"中","大")))</f>
        <v/>
      </c>
      <c r="M312" s="4" t="str">
        <f aca="false">IF(OR(D312="",K312=""),"",IF(D312=K312,"√","×"))</f>
        <v/>
      </c>
      <c r="N312" s="4" t="str">
        <f aca="false">IF(OR(E312="",L312=""),"",IF(E312=L312,"√","×"))</f>
        <v/>
      </c>
      <c r="O312" s="4"/>
      <c r="P312" s="4"/>
      <c r="Q312" s="4"/>
    </row>
    <row r="313" customFormat="false" ht="15" hidden="false" customHeight="true" outlineLevel="0" collapsed="false">
      <c r="A313" s="8"/>
      <c r="B313" s="8"/>
      <c r="C313" s="9"/>
      <c r="D313" s="8"/>
      <c r="E313" s="8"/>
      <c r="F313" s="8"/>
      <c r="G313" s="8"/>
      <c r="H313" s="8"/>
      <c r="I313" s="9"/>
      <c r="J313" s="11" t="str">
        <f aca="false">IF(OR(I313="",C313=""),"",(I313-C313)/C313)</f>
        <v/>
      </c>
      <c r="K313" s="8" t="str">
        <f aca="false">IF(J313="","",IF(J313&gt;0,"涨",IF(J313&lt;0,"跌","平")))</f>
        <v/>
      </c>
      <c r="L313" s="8" t="str">
        <f aca="false">IF(J313="","",IF(ABS(J313)&lt;=0.003,"小",IF(ABS(J313)&lt;=0.01,"中","大")))</f>
        <v/>
      </c>
      <c r="M313" s="8" t="str">
        <f aca="false">IF(OR(D313="",K313=""),"",IF(D313=K313,"√","×"))</f>
        <v/>
      </c>
      <c r="N313" s="8" t="str">
        <f aca="false">IF(OR(E313="",L313=""),"",IF(E313=L313,"√","×"))</f>
        <v/>
      </c>
      <c r="O313" s="8"/>
      <c r="P313" s="8"/>
      <c r="Q313" s="8"/>
    </row>
    <row r="314" customFormat="false" ht="15" hidden="false" customHeight="true" outlineLevel="0" collapsed="false">
      <c r="A314" s="4"/>
      <c r="B314" s="4"/>
      <c r="C314" s="5"/>
      <c r="D314" s="4"/>
      <c r="E314" s="4"/>
      <c r="F314" s="4"/>
      <c r="G314" s="4"/>
      <c r="H314" s="4"/>
      <c r="I314" s="5"/>
      <c r="J314" s="7" t="str">
        <f aca="false">IF(OR(I314="",C314=""),"",(I314-C314)/C314)</f>
        <v/>
      </c>
      <c r="K314" s="4" t="str">
        <f aca="false">IF(J314="","",IF(J314&gt;0,"涨",IF(J314&lt;0,"跌","平")))</f>
        <v/>
      </c>
      <c r="L314" s="4" t="str">
        <f aca="false">IF(J314="","",IF(ABS(J314)&lt;=0.003,"小",IF(ABS(J314)&lt;=0.01,"中","大")))</f>
        <v/>
      </c>
      <c r="M314" s="4" t="str">
        <f aca="false">IF(OR(D314="",K314=""),"",IF(D314=K314,"√","×"))</f>
        <v/>
      </c>
      <c r="N314" s="4" t="str">
        <f aca="false">IF(OR(E314="",L314=""),"",IF(E314=L314,"√","×"))</f>
        <v/>
      </c>
      <c r="O314" s="4"/>
      <c r="P314" s="4"/>
      <c r="Q314" s="4"/>
    </row>
    <row r="315" customFormat="false" ht="15" hidden="false" customHeight="true" outlineLevel="0" collapsed="false">
      <c r="A315" s="8"/>
      <c r="B315" s="8"/>
      <c r="C315" s="9"/>
      <c r="D315" s="8"/>
      <c r="E315" s="8"/>
      <c r="F315" s="8"/>
      <c r="G315" s="8"/>
      <c r="H315" s="8"/>
      <c r="I315" s="9"/>
      <c r="J315" s="11" t="str">
        <f aca="false">IF(OR(I315="",C315=""),"",(I315-C315)/C315)</f>
        <v/>
      </c>
      <c r="K315" s="8" t="str">
        <f aca="false">IF(J315="","",IF(J315&gt;0,"涨",IF(J315&lt;0,"跌","平")))</f>
        <v/>
      </c>
      <c r="L315" s="8" t="str">
        <f aca="false">IF(J315="","",IF(ABS(J315)&lt;=0.003,"小",IF(ABS(J315)&lt;=0.01,"中","大")))</f>
        <v/>
      </c>
      <c r="M315" s="8" t="str">
        <f aca="false">IF(OR(D315="",K315=""),"",IF(D315=K315,"√","×"))</f>
        <v/>
      </c>
      <c r="N315" s="8" t="str">
        <f aca="false">IF(OR(E315="",L315=""),"",IF(E315=L315,"√","×"))</f>
        <v/>
      </c>
      <c r="O315" s="8"/>
      <c r="P315" s="8"/>
      <c r="Q315" s="8"/>
    </row>
    <row r="316" customFormat="false" ht="15" hidden="false" customHeight="true" outlineLevel="0" collapsed="false">
      <c r="A316" s="4"/>
      <c r="B316" s="4"/>
      <c r="C316" s="5"/>
      <c r="D316" s="4"/>
      <c r="E316" s="4"/>
      <c r="F316" s="4"/>
      <c r="G316" s="4"/>
      <c r="H316" s="4"/>
      <c r="I316" s="5"/>
      <c r="J316" s="7" t="str">
        <f aca="false">IF(OR(I316="",C316=""),"",(I316-C316)/C316)</f>
        <v/>
      </c>
      <c r="K316" s="4" t="str">
        <f aca="false">IF(J316="","",IF(J316&gt;0,"涨",IF(J316&lt;0,"跌","平")))</f>
        <v/>
      </c>
      <c r="L316" s="4" t="str">
        <f aca="false">IF(J316="","",IF(ABS(J316)&lt;=0.003,"小",IF(ABS(J316)&lt;=0.01,"中","大")))</f>
        <v/>
      </c>
      <c r="M316" s="4" t="str">
        <f aca="false">IF(OR(D316="",K316=""),"",IF(D316=K316,"√","×"))</f>
        <v/>
      </c>
      <c r="N316" s="4" t="str">
        <f aca="false">IF(OR(E316="",L316=""),"",IF(E316=L316,"√","×"))</f>
        <v/>
      </c>
      <c r="O316" s="4"/>
      <c r="P316" s="4"/>
      <c r="Q316" s="4"/>
    </row>
    <row r="317" customFormat="false" ht="15" hidden="false" customHeight="true" outlineLevel="0" collapsed="false">
      <c r="A317" s="8"/>
      <c r="B317" s="8"/>
      <c r="C317" s="9"/>
      <c r="D317" s="8"/>
      <c r="E317" s="8"/>
      <c r="F317" s="8"/>
      <c r="G317" s="8"/>
      <c r="H317" s="8"/>
      <c r="I317" s="9"/>
      <c r="J317" s="11" t="str">
        <f aca="false">IF(OR(I317="",C317=""),"",(I317-C317)/C317)</f>
        <v/>
      </c>
      <c r="K317" s="8" t="str">
        <f aca="false">IF(J317="","",IF(J317&gt;0,"涨",IF(J317&lt;0,"跌","平")))</f>
        <v/>
      </c>
      <c r="L317" s="8" t="str">
        <f aca="false">IF(J317="","",IF(ABS(J317)&lt;=0.003,"小",IF(ABS(J317)&lt;=0.01,"中","大")))</f>
        <v/>
      </c>
      <c r="M317" s="8" t="str">
        <f aca="false">IF(OR(D317="",K317=""),"",IF(D317=K317,"√","×"))</f>
        <v/>
      </c>
      <c r="N317" s="8" t="str">
        <f aca="false">IF(OR(E317="",L317=""),"",IF(E317=L317,"√","×"))</f>
        <v/>
      </c>
      <c r="O317" s="8"/>
      <c r="P317" s="8"/>
      <c r="Q317" s="8"/>
    </row>
    <row r="318" customFormat="false" ht="15" hidden="false" customHeight="true" outlineLevel="0" collapsed="false">
      <c r="A318" s="4"/>
      <c r="B318" s="4"/>
      <c r="C318" s="5"/>
      <c r="D318" s="4"/>
      <c r="E318" s="4"/>
      <c r="F318" s="4"/>
      <c r="G318" s="4"/>
      <c r="H318" s="4"/>
      <c r="I318" s="5"/>
      <c r="J318" s="7" t="str">
        <f aca="false">IF(OR(I318="",C318=""),"",(I318-C318)/C318)</f>
        <v/>
      </c>
      <c r="K318" s="4" t="str">
        <f aca="false">IF(J318="","",IF(J318&gt;0,"涨",IF(J318&lt;0,"跌","平")))</f>
        <v/>
      </c>
      <c r="L318" s="4" t="str">
        <f aca="false">IF(J318="","",IF(ABS(J318)&lt;=0.003,"小",IF(ABS(J318)&lt;=0.01,"中","大")))</f>
        <v/>
      </c>
      <c r="M318" s="4" t="str">
        <f aca="false">IF(OR(D318="",K318=""),"",IF(D318=K318,"√","×"))</f>
        <v/>
      </c>
      <c r="N318" s="4" t="str">
        <f aca="false">IF(OR(E318="",L318=""),"",IF(E318=L318,"√","×"))</f>
        <v/>
      </c>
      <c r="O318" s="4"/>
      <c r="P318" s="4"/>
      <c r="Q318" s="4"/>
    </row>
    <row r="319" customFormat="false" ht="15" hidden="false" customHeight="true" outlineLevel="0" collapsed="false">
      <c r="A319" s="8"/>
      <c r="B319" s="8"/>
      <c r="C319" s="9"/>
      <c r="D319" s="8"/>
      <c r="E319" s="8"/>
      <c r="F319" s="8"/>
      <c r="G319" s="8"/>
      <c r="H319" s="8"/>
      <c r="I319" s="9"/>
      <c r="J319" s="11" t="str">
        <f aca="false">IF(OR(I319="",C319=""),"",(I319-C319)/C319)</f>
        <v/>
      </c>
      <c r="K319" s="8" t="str">
        <f aca="false">IF(J319="","",IF(J319&gt;0,"涨",IF(J319&lt;0,"跌","平")))</f>
        <v/>
      </c>
      <c r="L319" s="8" t="str">
        <f aca="false">IF(J319="","",IF(ABS(J319)&lt;=0.003,"小",IF(ABS(J319)&lt;=0.01,"中","大")))</f>
        <v/>
      </c>
      <c r="M319" s="8" t="str">
        <f aca="false">IF(OR(D319="",K319=""),"",IF(D319=K319,"√","×"))</f>
        <v/>
      </c>
      <c r="N319" s="8" t="str">
        <f aca="false">IF(OR(E319="",L319=""),"",IF(E319=L319,"√","×"))</f>
        <v/>
      </c>
      <c r="O319" s="8"/>
      <c r="P319" s="8"/>
      <c r="Q319" s="8"/>
    </row>
    <row r="320" customFormat="false" ht="15" hidden="false" customHeight="true" outlineLevel="0" collapsed="false">
      <c r="A320" s="4"/>
      <c r="B320" s="4"/>
      <c r="C320" s="5"/>
      <c r="D320" s="4"/>
      <c r="E320" s="4"/>
      <c r="F320" s="4"/>
      <c r="G320" s="4"/>
      <c r="H320" s="4"/>
      <c r="I320" s="5"/>
      <c r="J320" s="7" t="str">
        <f aca="false">IF(OR(I320="",C320=""),"",(I320-C320)/C320)</f>
        <v/>
      </c>
      <c r="K320" s="4" t="str">
        <f aca="false">IF(J320="","",IF(J320&gt;0,"涨",IF(J320&lt;0,"跌","平")))</f>
        <v/>
      </c>
      <c r="L320" s="4" t="str">
        <f aca="false">IF(J320="","",IF(ABS(J320)&lt;=0.003,"小",IF(ABS(J320)&lt;=0.01,"中","大")))</f>
        <v/>
      </c>
      <c r="M320" s="4" t="str">
        <f aca="false">IF(OR(D320="",K320=""),"",IF(D320=K320,"√","×"))</f>
        <v/>
      </c>
      <c r="N320" s="4" t="str">
        <f aca="false">IF(OR(E320="",L320=""),"",IF(E320=L320,"√","×"))</f>
        <v/>
      </c>
      <c r="O320" s="4"/>
      <c r="P320" s="4"/>
      <c r="Q320" s="4"/>
    </row>
    <row r="321" customFormat="false" ht="15" hidden="false" customHeight="true" outlineLevel="0" collapsed="false">
      <c r="A321" s="8"/>
      <c r="B321" s="8"/>
      <c r="C321" s="9"/>
      <c r="D321" s="8"/>
      <c r="E321" s="8"/>
      <c r="F321" s="8"/>
      <c r="G321" s="8"/>
      <c r="H321" s="8"/>
      <c r="I321" s="9"/>
      <c r="J321" s="11" t="str">
        <f aca="false">IF(OR(I321="",C321=""),"",(I321-C321)/C321)</f>
        <v/>
      </c>
      <c r="K321" s="8" t="str">
        <f aca="false">IF(J321="","",IF(J321&gt;0,"涨",IF(J321&lt;0,"跌","平")))</f>
        <v/>
      </c>
      <c r="L321" s="8" t="str">
        <f aca="false">IF(J321="","",IF(ABS(J321)&lt;=0.003,"小",IF(ABS(J321)&lt;=0.01,"中","大")))</f>
        <v/>
      </c>
      <c r="M321" s="8" t="str">
        <f aca="false">IF(OR(D321="",K321=""),"",IF(D321=K321,"√","×"))</f>
        <v/>
      </c>
      <c r="N321" s="8" t="str">
        <f aca="false">IF(OR(E321="",L321=""),"",IF(E321=L321,"√","×"))</f>
        <v/>
      </c>
      <c r="O321" s="8"/>
      <c r="P321" s="8"/>
      <c r="Q321" s="8"/>
    </row>
    <row r="322" customFormat="false" ht="15" hidden="false" customHeight="true" outlineLevel="0" collapsed="false">
      <c r="A322" s="4"/>
      <c r="B322" s="4"/>
      <c r="C322" s="5"/>
      <c r="D322" s="4"/>
      <c r="E322" s="4"/>
      <c r="F322" s="4"/>
      <c r="G322" s="4"/>
      <c r="H322" s="4"/>
      <c r="I322" s="5"/>
      <c r="J322" s="7" t="str">
        <f aca="false">IF(OR(I322="",C322=""),"",(I322-C322)/C322)</f>
        <v/>
      </c>
      <c r="K322" s="4" t="str">
        <f aca="false">IF(J322="","",IF(J322&gt;0,"涨",IF(J322&lt;0,"跌","平")))</f>
        <v/>
      </c>
      <c r="L322" s="4" t="str">
        <f aca="false">IF(J322="","",IF(ABS(J322)&lt;=0.003,"小",IF(ABS(J322)&lt;=0.01,"中","大")))</f>
        <v/>
      </c>
      <c r="M322" s="4" t="str">
        <f aca="false">IF(OR(D322="",K322=""),"",IF(D322=K322,"√","×"))</f>
        <v/>
      </c>
      <c r="N322" s="4" t="str">
        <f aca="false">IF(OR(E322="",L322=""),"",IF(E322=L322,"√","×"))</f>
        <v/>
      </c>
      <c r="O322" s="4"/>
      <c r="P322" s="4"/>
      <c r="Q322" s="4"/>
    </row>
    <row r="323" customFormat="false" ht="15" hidden="false" customHeight="true" outlineLevel="0" collapsed="false">
      <c r="A323" s="8"/>
      <c r="B323" s="8"/>
      <c r="C323" s="9"/>
      <c r="D323" s="8"/>
      <c r="E323" s="8"/>
      <c r="F323" s="8"/>
      <c r="G323" s="8"/>
      <c r="H323" s="8"/>
      <c r="I323" s="9"/>
      <c r="J323" s="11" t="str">
        <f aca="false">IF(OR(I323="",C323=""),"",(I323-C323)/C323)</f>
        <v/>
      </c>
      <c r="K323" s="8" t="str">
        <f aca="false">IF(J323="","",IF(J323&gt;0,"涨",IF(J323&lt;0,"跌","平")))</f>
        <v/>
      </c>
      <c r="L323" s="8" t="str">
        <f aca="false">IF(J323="","",IF(ABS(J323)&lt;=0.003,"小",IF(ABS(J323)&lt;=0.01,"中","大")))</f>
        <v/>
      </c>
      <c r="M323" s="8" t="str">
        <f aca="false">IF(OR(D323="",K323=""),"",IF(D323=K323,"√","×"))</f>
        <v/>
      </c>
      <c r="N323" s="8" t="str">
        <f aca="false">IF(OR(E323="",L323=""),"",IF(E323=L323,"√","×"))</f>
        <v/>
      </c>
      <c r="O323" s="8"/>
      <c r="P323" s="8"/>
      <c r="Q323" s="8"/>
    </row>
    <row r="324" customFormat="false" ht="15" hidden="false" customHeight="true" outlineLevel="0" collapsed="false">
      <c r="A324" s="4"/>
      <c r="B324" s="4"/>
      <c r="C324" s="5"/>
      <c r="D324" s="4"/>
      <c r="E324" s="4"/>
      <c r="F324" s="4"/>
      <c r="G324" s="4"/>
      <c r="H324" s="4"/>
      <c r="I324" s="5"/>
      <c r="J324" s="7" t="str">
        <f aca="false">IF(OR(I324="",C324=""),"",(I324-C324)/C324)</f>
        <v/>
      </c>
      <c r="K324" s="4" t="str">
        <f aca="false">IF(J324="","",IF(J324&gt;0,"涨",IF(J324&lt;0,"跌","平")))</f>
        <v/>
      </c>
      <c r="L324" s="4" t="str">
        <f aca="false">IF(J324="","",IF(ABS(J324)&lt;=0.003,"小",IF(ABS(J324)&lt;=0.01,"中","大")))</f>
        <v/>
      </c>
      <c r="M324" s="4" t="str">
        <f aca="false">IF(OR(D324="",K324=""),"",IF(D324=K324,"√","×"))</f>
        <v/>
      </c>
      <c r="N324" s="4" t="str">
        <f aca="false">IF(OR(E324="",L324=""),"",IF(E324=L324,"√","×"))</f>
        <v/>
      </c>
      <c r="O324" s="4"/>
      <c r="P324" s="4"/>
      <c r="Q324" s="4"/>
    </row>
    <row r="325" customFormat="false" ht="15" hidden="false" customHeight="true" outlineLevel="0" collapsed="false">
      <c r="A325" s="8"/>
      <c r="B325" s="8"/>
      <c r="C325" s="9"/>
      <c r="D325" s="8"/>
      <c r="E325" s="8"/>
      <c r="F325" s="8"/>
      <c r="G325" s="8"/>
      <c r="H325" s="8"/>
      <c r="I325" s="9"/>
      <c r="J325" s="11" t="str">
        <f aca="false">IF(OR(I325="",C325=""),"",(I325-C325)/C325)</f>
        <v/>
      </c>
      <c r="K325" s="8" t="str">
        <f aca="false">IF(J325="","",IF(J325&gt;0,"涨",IF(J325&lt;0,"跌","平")))</f>
        <v/>
      </c>
      <c r="L325" s="8" t="str">
        <f aca="false">IF(J325="","",IF(ABS(J325)&lt;=0.003,"小",IF(ABS(J325)&lt;=0.01,"中","大")))</f>
        <v/>
      </c>
      <c r="M325" s="8" t="str">
        <f aca="false">IF(OR(D325="",K325=""),"",IF(D325=K325,"√","×"))</f>
        <v/>
      </c>
      <c r="N325" s="8" t="str">
        <f aca="false">IF(OR(E325="",L325=""),"",IF(E325=L325,"√","×"))</f>
        <v/>
      </c>
      <c r="O325" s="8"/>
      <c r="P325" s="8"/>
      <c r="Q325" s="8"/>
    </row>
    <row r="326" customFormat="false" ht="15" hidden="false" customHeight="true" outlineLevel="0" collapsed="false">
      <c r="A326" s="4"/>
      <c r="B326" s="4"/>
      <c r="C326" s="5"/>
      <c r="D326" s="4"/>
      <c r="E326" s="4"/>
      <c r="F326" s="4"/>
      <c r="G326" s="4"/>
      <c r="H326" s="4"/>
      <c r="I326" s="5"/>
      <c r="J326" s="7" t="str">
        <f aca="false">IF(OR(I326="",C326=""),"",(I326-C326)/C326)</f>
        <v/>
      </c>
      <c r="K326" s="4" t="str">
        <f aca="false">IF(J326="","",IF(J326&gt;0,"涨",IF(J326&lt;0,"跌","平")))</f>
        <v/>
      </c>
      <c r="L326" s="4" t="str">
        <f aca="false">IF(J326="","",IF(ABS(J326)&lt;=0.003,"小",IF(ABS(J326)&lt;=0.01,"中","大")))</f>
        <v/>
      </c>
      <c r="M326" s="4" t="str">
        <f aca="false">IF(OR(D326="",K326=""),"",IF(D326=K326,"√","×"))</f>
        <v/>
      </c>
      <c r="N326" s="4" t="str">
        <f aca="false">IF(OR(E326="",L326=""),"",IF(E326=L326,"√","×"))</f>
        <v/>
      </c>
      <c r="O326" s="4"/>
      <c r="P326" s="4"/>
      <c r="Q326" s="4"/>
    </row>
    <row r="327" customFormat="false" ht="15" hidden="false" customHeight="true" outlineLevel="0" collapsed="false">
      <c r="A327" s="8"/>
      <c r="B327" s="8"/>
      <c r="C327" s="9"/>
      <c r="D327" s="8"/>
      <c r="E327" s="8"/>
      <c r="F327" s="8"/>
      <c r="G327" s="8"/>
      <c r="H327" s="8"/>
      <c r="I327" s="9"/>
      <c r="J327" s="11" t="str">
        <f aca="false">IF(OR(I327="",C327=""),"",(I327-C327)/C327)</f>
        <v/>
      </c>
      <c r="K327" s="8" t="str">
        <f aca="false">IF(J327="","",IF(J327&gt;0,"涨",IF(J327&lt;0,"跌","平")))</f>
        <v/>
      </c>
      <c r="L327" s="8" t="str">
        <f aca="false">IF(J327="","",IF(ABS(J327)&lt;=0.003,"小",IF(ABS(J327)&lt;=0.01,"中","大")))</f>
        <v/>
      </c>
      <c r="M327" s="8" t="str">
        <f aca="false">IF(OR(D327="",K327=""),"",IF(D327=K327,"√","×"))</f>
        <v/>
      </c>
      <c r="N327" s="8" t="str">
        <f aca="false">IF(OR(E327="",L327=""),"",IF(E327=L327,"√","×"))</f>
        <v/>
      </c>
      <c r="O327" s="8"/>
      <c r="P327" s="8"/>
      <c r="Q327" s="8"/>
    </row>
    <row r="328" customFormat="false" ht="15" hidden="false" customHeight="true" outlineLevel="0" collapsed="false">
      <c r="A328" s="4"/>
      <c r="B328" s="4"/>
      <c r="C328" s="5"/>
      <c r="D328" s="4"/>
      <c r="E328" s="4"/>
      <c r="F328" s="4"/>
      <c r="G328" s="4"/>
      <c r="H328" s="4"/>
      <c r="I328" s="5"/>
      <c r="J328" s="7" t="str">
        <f aca="false">IF(OR(I328="",C328=""),"",(I328-C328)/C328)</f>
        <v/>
      </c>
      <c r="K328" s="4" t="str">
        <f aca="false">IF(J328="","",IF(J328&gt;0,"涨",IF(J328&lt;0,"跌","平")))</f>
        <v/>
      </c>
      <c r="L328" s="4" t="str">
        <f aca="false">IF(J328="","",IF(ABS(J328)&lt;=0.003,"小",IF(ABS(J328)&lt;=0.01,"中","大")))</f>
        <v/>
      </c>
      <c r="M328" s="4" t="str">
        <f aca="false">IF(OR(D328="",K328=""),"",IF(D328=K328,"√","×"))</f>
        <v/>
      </c>
      <c r="N328" s="4" t="str">
        <f aca="false">IF(OR(E328="",L328=""),"",IF(E328=L328,"√","×"))</f>
        <v/>
      </c>
      <c r="O328" s="4"/>
      <c r="P328" s="4"/>
      <c r="Q328" s="4"/>
    </row>
    <row r="329" customFormat="false" ht="15" hidden="false" customHeight="true" outlineLevel="0" collapsed="false">
      <c r="A329" s="8"/>
      <c r="B329" s="8"/>
      <c r="C329" s="9"/>
      <c r="D329" s="8"/>
      <c r="E329" s="8"/>
      <c r="F329" s="8"/>
      <c r="G329" s="8"/>
      <c r="H329" s="8"/>
      <c r="I329" s="9"/>
      <c r="J329" s="11" t="str">
        <f aca="false">IF(OR(I329="",C329=""),"",(I329-C329)/C329)</f>
        <v/>
      </c>
      <c r="K329" s="8" t="str">
        <f aca="false">IF(J329="","",IF(J329&gt;0,"涨",IF(J329&lt;0,"跌","平")))</f>
        <v/>
      </c>
      <c r="L329" s="8" t="str">
        <f aca="false">IF(J329="","",IF(ABS(J329)&lt;=0.003,"小",IF(ABS(J329)&lt;=0.01,"中","大")))</f>
        <v/>
      </c>
      <c r="M329" s="8" t="str">
        <f aca="false">IF(OR(D329="",K329=""),"",IF(D329=K329,"√","×"))</f>
        <v/>
      </c>
      <c r="N329" s="8" t="str">
        <f aca="false">IF(OR(E329="",L329=""),"",IF(E329=L329,"√","×"))</f>
        <v/>
      </c>
      <c r="O329" s="8"/>
      <c r="P329" s="8"/>
      <c r="Q329" s="8"/>
    </row>
    <row r="330" customFormat="false" ht="15" hidden="false" customHeight="true" outlineLevel="0" collapsed="false">
      <c r="A330" s="4"/>
      <c r="B330" s="4"/>
      <c r="C330" s="5"/>
      <c r="D330" s="4"/>
      <c r="E330" s="4"/>
      <c r="F330" s="4"/>
      <c r="G330" s="4"/>
      <c r="H330" s="4"/>
      <c r="I330" s="5"/>
      <c r="J330" s="7" t="str">
        <f aca="false">IF(OR(I330="",C330=""),"",(I330-C330)/C330)</f>
        <v/>
      </c>
      <c r="K330" s="4" t="str">
        <f aca="false">IF(J330="","",IF(J330&gt;0,"涨",IF(J330&lt;0,"跌","平")))</f>
        <v/>
      </c>
      <c r="L330" s="4" t="str">
        <f aca="false">IF(J330="","",IF(ABS(J330)&lt;=0.003,"小",IF(ABS(J330)&lt;=0.01,"中","大")))</f>
        <v/>
      </c>
      <c r="M330" s="4" t="str">
        <f aca="false">IF(OR(D330="",K330=""),"",IF(D330=K330,"√","×"))</f>
        <v/>
      </c>
      <c r="N330" s="4" t="str">
        <f aca="false">IF(OR(E330="",L330=""),"",IF(E330=L330,"√","×"))</f>
        <v/>
      </c>
      <c r="O330" s="4"/>
      <c r="P330" s="4"/>
      <c r="Q330" s="4"/>
    </row>
    <row r="331" customFormat="false" ht="15" hidden="false" customHeight="true" outlineLevel="0" collapsed="false">
      <c r="A331" s="8"/>
      <c r="B331" s="8"/>
      <c r="C331" s="9"/>
      <c r="D331" s="8"/>
      <c r="E331" s="8"/>
      <c r="F331" s="8"/>
      <c r="G331" s="8"/>
      <c r="H331" s="8"/>
      <c r="I331" s="9"/>
      <c r="J331" s="11" t="str">
        <f aca="false">IF(OR(I331="",C331=""),"",(I331-C331)/C331)</f>
        <v/>
      </c>
      <c r="K331" s="8" t="str">
        <f aca="false">IF(J331="","",IF(J331&gt;0,"涨",IF(J331&lt;0,"跌","平")))</f>
        <v/>
      </c>
      <c r="L331" s="8" t="str">
        <f aca="false">IF(J331="","",IF(ABS(J331)&lt;=0.003,"小",IF(ABS(J331)&lt;=0.01,"中","大")))</f>
        <v/>
      </c>
      <c r="M331" s="8" t="str">
        <f aca="false">IF(OR(D331="",K331=""),"",IF(D331=K331,"√","×"))</f>
        <v/>
      </c>
      <c r="N331" s="8" t="str">
        <f aca="false">IF(OR(E331="",L331=""),"",IF(E331=L331,"√","×"))</f>
        <v/>
      </c>
      <c r="O331" s="8"/>
      <c r="P331" s="8"/>
      <c r="Q331" s="8"/>
    </row>
    <row r="332" customFormat="false" ht="15" hidden="false" customHeight="true" outlineLevel="0" collapsed="false">
      <c r="A332" s="4"/>
      <c r="B332" s="4"/>
      <c r="C332" s="5"/>
      <c r="D332" s="4"/>
      <c r="E332" s="4"/>
      <c r="F332" s="4"/>
      <c r="G332" s="4"/>
      <c r="H332" s="4"/>
      <c r="I332" s="5"/>
      <c r="J332" s="7" t="str">
        <f aca="false">IF(OR(I332="",C332=""),"",(I332-C332)/C332)</f>
        <v/>
      </c>
      <c r="K332" s="4" t="str">
        <f aca="false">IF(J332="","",IF(J332&gt;0,"涨",IF(J332&lt;0,"跌","平")))</f>
        <v/>
      </c>
      <c r="L332" s="4" t="str">
        <f aca="false">IF(J332="","",IF(ABS(J332)&lt;=0.003,"小",IF(ABS(J332)&lt;=0.01,"中","大")))</f>
        <v/>
      </c>
      <c r="M332" s="4" t="str">
        <f aca="false">IF(OR(D332="",K332=""),"",IF(D332=K332,"√","×"))</f>
        <v/>
      </c>
      <c r="N332" s="4" t="str">
        <f aca="false">IF(OR(E332="",L332=""),"",IF(E332=L332,"√","×"))</f>
        <v/>
      </c>
      <c r="O332" s="4"/>
      <c r="P332" s="4"/>
      <c r="Q332" s="4"/>
    </row>
    <row r="333" customFormat="false" ht="15" hidden="false" customHeight="true" outlineLevel="0" collapsed="false">
      <c r="A333" s="8"/>
      <c r="B333" s="8"/>
      <c r="C333" s="9"/>
      <c r="D333" s="8"/>
      <c r="E333" s="8"/>
      <c r="F333" s="8"/>
      <c r="G333" s="8"/>
      <c r="H333" s="8"/>
      <c r="I333" s="9"/>
      <c r="J333" s="11" t="str">
        <f aca="false">IF(OR(I333="",C333=""),"",(I333-C333)/C333)</f>
        <v/>
      </c>
      <c r="K333" s="8" t="str">
        <f aca="false">IF(J333="","",IF(J333&gt;0,"涨",IF(J333&lt;0,"跌","平")))</f>
        <v/>
      </c>
      <c r="L333" s="8" t="str">
        <f aca="false">IF(J333="","",IF(ABS(J333)&lt;=0.003,"小",IF(ABS(J333)&lt;=0.01,"中","大")))</f>
        <v/>
      </c>
      <c r="M333" s="8" t="str">
        <f aca="false">IF(OR(D333="",K333=""),"",IF(D333=K333,"√","×"))</f>
        <v/>
      </c>
      <c r="N333" s="8" t="str">
        <f aca="false">IF(OR(E333="",L333=""),"",IF(E333=L333,"√","×"))</f>
        <v/>
      </c>
      <c r="O333" s="8"/>
      <c r="P333" s="8"/>
      <c r="Q333" s="8"/>
    </row>
    <row r="334" customFormat="false" ht="15" hidden="false" customHeight="true" outlineLevel="0" collapsed="false">
      <c r="A334" s="4"/>
      <c r="B334" s="4"/>
      <c r="C334" s="5"/>
      <c r="D334" s="4"/>
      <c r="E334" s="4"/>
      <c r="F334" s="4"/>
      <c r="G334" s="4"/>
      <c r="H334" s="4"/>
      <c r="I334" s="5"/>
      <c r="J334" s="7" t="str">
        <f aca="false">IF(OR(I334="",C334=""),"",(I334-C334)/C334)</f>
        <v/>
      </c>
      <c r="K334" s="4" t="str">
        <f aca="false">IF(J334="","",IF(J334&gt;0,"涨",IF(J334&lt;0,"跌","平")))</f>
        <v/>
      </c>
      <c r="L334" s="4" t="str">
        <f aca="false">IF(J334="","",IF(ABS(J334)&lt;=0.003,"小",IF(ABS(J334)&lt;=0.01,"中","大")))</f>
        <v/>
      </c>
      <c r="M334" s="4" t="str">
        <f aca="false">IF(OR(D334="",K334=""),"",IF(D334=K334,"√","×"))</f>
        <v/>
      </c>
      <c r="N334" s="4" t="str">
        <f aca="false">IF(OR(E334="",L334=""),"",IF(E334=L334,"√","×"))</f>
        <v/>
      </c>
      <c r="O334" s="4"/>
      <c r="P334" s="4"/>
      <c r="Q334" s="4"/>
    </row>
    <row r="335" customFormat="false" ht="15" hidden="false" customHeight="true" outlineLevel="0" collapsed="false">
      <c r="A335" s="8"/>
      <c r="B335" s="8"/>
      <c r="C335" s="9"/>
      <c r="D335" s="8"/>
      <c r="E335" s="8"/>
      <c r="F335" s="8"/>
      <c r="G335" s="8"/>
      <c r="H335" s="8"/>
      <c r="I335" s="9"/>
      <c r="J335" s="11" t="str">
        <f aca="false">IF(OR(I335="",C335=""),"",(I335-C335)/C335)</f>
        <v/>
      </c>
      <c r="K335" s="8" t="str">
        <f aca="false">IF(J335="","",IF(J335&gt;0,"涨",IF(J335&lt;0,"跌","平")))</f>
        <v/>
      </c>
      <c r="L335" s="8" t="str">
        <f aca="false">IF(J335="","",IF(ABS(J335)&lt;=0.003,"小",IF(ABS(J335)&lt;=0.01,"中","大")))</f>
        <v/>
      </c>
      <c r="M335" s="8" t="str">
        <f aca="false">IF(OR(D335="",K335=""),"",IF(D335=K335,"√","×"))</f>
        <v/>
      </c>
      <c r="N335" s="8" t="str">
        <f aca="false">IF(OR(E335="",L335=""),"",IF(E335=L335,"√","×"))</f>
        <v/>
      </c>
      <c r="O335" s="8"/>
      <c r="P335" s="8"/>
      <c r="Q335" s="8"/>
    </row>
    <row r="336" customFormat="false" ht="15" hidden="false" customHeight="true" outlineLevel="0" collapsed="false">
      <c r="A336" s="4"/>
      <c r="B336" s="4"/>
      <c r="C336" s="5"/>
      <c r="D336" s="4"/>
      <c r="E336" s="4"/>
      <c r="F336" s="4"/>
      <c r="G336" s="4"/>
      <c r="H336" s="4"/>
      <c r="I336" s="5"/>
      <c r="J336" s="7" t="str">
        <f aca="false">IF(OR(I336="",C336=""),"",(I336-C336)/C336)</f>
        <v/>
      </c>
      <c r="K336" s="4" t="str">
        <f aca="false">IF(J336="","",IF(J336&gt;0,"涨",IF(J336&lt;0,"跌","平")))</f>
        <v/>
      </c>
      <c r="L336" s="4" t="str">
        <f aca="false">IF(J336="","",IF(ABS(J336)&lt;=0.003,"小",IF(ABS(J336)&lt;=0.01,"中","大")))</f>
        <v/>
      </c>
      <c r="M336" s="4" t="str">
        <f aca="false">IF(OR(D336="",K336=""),"",IF(D336=K336,"√","×"))</f>
        <v/>
      </c>
      <c r="N336" s="4" t="str">
        <f aca="false">IF(OR(E336="",L336=""),"",IF(E336=L336,"√","×"))</f>
        <v/>
      </c>
      <c r="O336" s="4"/>
      <c r="P336" s="4"/>
      <c r="Q336" s="4"/>
    </row>
    <row r="337" customFormat="false" ht="15" hidden="false" customHeight="true" outlineLevel="0" collapsed="false">
      <c r="A337" s="8"/>
      <c r="B337" s="8"/>
      <c r="C337" s="9"/>
      <c r="D337" s="8"/>
      <c r="E337" s="8"/>
      <c r="F337" s="8"/>
      <c r="G337" s="8"/>
      <c r="H337" s="8"/>
      <c r="I337" s="9"/>
      <c r="J337" s="11" t="str">
        <f aca="false">IF(OR(I337="",C337=""),"",(I337-C337)/C337)</f>
        <v/>
      </c>
      <c r="K337" s="8" t="str">
        <f aca="false">IF(J337="","",IF(J337&gt;0,"涨",IF(J337&lt;0,"跌","平")))</f>
        <v/>
      </c>
      <c r="L337" s="8" t="str">
        <f aca="false">IF(J337="","",IF(ABS(J337)&lt;=0.003,"小",IF(ABS(J337)&lt;=0.01,"中","大")))</f>
        <v/>
      </c>
      <c r="M337" s="8" t="str">
        <f aca="false">IF(OR(D337="",K337=""),"",IF(D337=K337,"√","×"))</f>
        <v/>
      </c>
      <c r="N337" s="8" t="str">
        <f aca="false">IF(OR(E337="",L337=""),"",IF(E337=L337,"√","×"))</f>
        <v/>
      </c>
      <c r="O337" s="8"/>
      <c r="P337" s="8"/>
      <c r="Q337" s="8"/>
    </row>
    <row r="338" customFormat="false" ht="15" hidden="false" customHeight="true" outlineLevel="0" collapsed="false">
      <c r="A338" s="4"/>
      <c r="B338" s="4"/>
      <c r="C338" s="5"/>
      <c r="D338" s="4"/>
      <c r="E338" s="4"/>
      <c r="F338" s="4"/>
      <c r="G338" s="4"/>
      <c r="H338" s="4"/>
      <c r="I338" s="5"/>
      <c r="J338" s="7" t="str">
        <f aca="false">IF(OR(I338="",C338=""),"",(I338-C338)/C338)</f>
        <v/>
      </c>
      <c r="K338" s="4" t="str">
        <f aca="false">IF(J338="","",IF(J338&gt;0,"涨",IF(J338&lt;0,"跌","平")))</f>
        <v/>
      </c>
      <c r="L338" s="4" t="str">
        <f aca="false">IF(J338="","",IF(ABS(J338)&lt;=0.003,"小",IF(ABS(J338)&lt;=0.01,"中","大")))</f>
        <v/>
      </c>
      <c r="M338" s="4" t="str">
        <f aca="false">IF(OR(D338="",K338=""),"",IF(D338=K338,"√","×"))</f>
        <v/>
      </c>
      <c r="N338" s="4" t="str">
        <f aca="false">IF(OR(E338="",L338=""),"",IF(E338=L338,"√","×"))</f>
        <v/>
      </c>
      <c r="O338" s="4"/>
      <c r="P338" s="4"/>
      <c r="Q338" s="4"/>
    </row>
    <row r="339" customFormat="false" ht="15" hidden="false" customHeight="true" outlineLevel="0" collapsed="false">
      <c r="A339" s="8"/>
      <c r="B339" s="8"/>
      <c r="C339" s="9"/>
      <c r="D339" s="8"/>
      <c r="E339" s="8"/>
      <c r="F339" s="8"/>
      <c r="G339" s="8"/>
      <c r="H339" s="8"/>
      <c r="I339" s="9"/>
      <c r="J339" s="11" t="str">
        <f aca="false">IF(OR(I339="",C339=""),"",(I339-C339)/C339)</f>
        <v/>
      </c>
      <c r="K339" s="8" t="str">
        <f aca="false">IF(J339="","",IF(J339&gt;0,"涨",IF(J339&lt;0,"跌","平")))</f>
        <v/>
      </c>
      <c r="L339" s="8" t="str">
        <f aca="false">IF(J339="","",IF(ABS(J339)&lt;=0.003,"小",IF(ABS(J339)&lt;=0.01,"中","大")))</f>
        <v/>
      </c>
      <c r="M339" s="8" t="str">
        <f aca="false">IF(OR(D339="",K339=""),"",IF(D339=K339,"√","×"))</f>
        <v/>
      </c>
      <c r="N339" s="8" t="str">
        <f aca="false">IF(OR(E339="",L339=""),"",IF(E339=L339,"√","×"))</f>
        <v/>
      </c>
      <c r="O339" s="8"/>
      <c r="P339" s="8"/>
      <c r="Q339" s="8"/>
    </row>
    <row r="340" customFormat="false" ht="15" hidden="false" customHeight="true" outlineLevel="0" collapsed="false">
      <c r="A340" s="4"/>
      <c r="B340" s="4"/>
      <c r="C340" s="5"/>
      <c r="D340" s="4"/>
      <c r="E340" s="4"/>
      <c r="F340" s="4"/>
      <c r="G340" s="4"/>
      <c r="H340" s="4"/>
      <c r="I340" s="5"/>
      <c r="J340" s="7" t="str">
        <f aca="false">IF(OR(I340="",C340=""),"",(I340-C340)/C340)</f>
        <v/>
      </c>
      <c r="K340" s="4" t="str">
        <f aca="false">IF(J340="","",IF(J340&gt;0,"涨",IF(J340&lt;0,"跌","平")))</f>
        <v/>
      </c>
      <c r="L340" s="4" t="str">
        <f aca="false">IF(J340="","",IF(ABS(J340)&lt;=0.003,"小",IF(ABS(J340)&lt;=0.01,"中","大")))</f>
        <v/>
      </c>
      <c r="M340" s="4" t="str">
        <f aca="false">IF(OR(D340="",K340=""),"",IF(D340=K340,"√","×"))</f>
        <v/>
      </c>
      <c r="N340" s="4" t="str">
        <f aca="false">IF(OR(E340="",L340=""),"",IF(E340=L340,"√","×"))</f>
        <v/>
      </c>
      <c r="O340" s="4"/>
      <c r="P340" s="4"/>
      <c r="Q340" s="4"/>
    </row>
    <row r="341" customFormat="false" ht="15" hidden="false" customHeight="true" outlineLevel="0" collapsed="false">
      <c r="A341" s="8"/>
      <c r="B341" s="8"/>
      <c r="C341" s="9"/>
      <c r="D341" s="8"/>
      <c r="E341" s="8"/>
      <c r="F341" s="8"/>
      <c r="G341" s="8"/>
      <c r="H341" s="8"/>
      <c r="I341" s="9"/>
      <c r="J341" s="11" t="str">
        <f aca="false">IF(OR(I341="",C341=""),"",(I341-C341)/C341)</f>
        <v/>
      </c>
      <c r="K341" s="8" t="str">
        <f aca="false">IF(J341="","",IF(J341&gt;0,"涨",IF(J341&lt;0,"跌","平")))</f>
        <v/>
      </c>
      <c r="L341" s="8" t="str">
        <f aca="false">IF(J341="","",IF(ABS(J341)&lt;=0.003,"小",IF(ABS(J341)&lt;=0.01,"中","大")))</f>
        <v/>
      </c>
      <c r="M341" s="8" t="str">
        <f aca="false">IF(OR(D341="",K341=""),"",IF(D341=K341,"√","×"))</f>
        <v/>
      </c>
      <c r="N341" s="8" t="str">
        <f aca="false">IF(OR(E341="",L341=""),"",IF(E341=L341,"√","×"))</f>
        <v/>
      </c>
      <c r="O341" s="8"/>
      <c r="P341" s="8"/>
      <c r="Q341" s="8"/>
    </row>
    <row r="342" customFormat="false" ht="15" hidden="false" customHeight="true" outlineLevel="0" collapsed="false">
      <c r="A342" s="4"/>
      <c r="B342" s="4"/>
      <c r="C342" s="5"/>
      <c r="D342" s="4"/>
      <c r="E342" s="4"/>
      <c r="F342" s="4"/>
      <c r="G342" s="4"/>
      <c r="H342" s="4"/>
      <c r="I342" s="5"/>
      <c r="J342" s="7" t="str">
        <f aca="false">IF(OR(I342="",C342=""),"",(I342-C342)/C342)</f>
        <v/>
      </c>
      <c r="K342" s="4" t="str">
        <f aca="false">IF(J342="","",IF(J342&gt;0,"涨",IF(J342&lt;0,"跌","平")))</f>
        <v/>
      </c>
      <c r="L342" s="4" t="str">
        <f aca="false">IF(J342="","",IF(ABS(J342)&lt;=0.003,"小",IF(ABS(J342)&lt;=0.01,"中","大")))</f>
        <v/>
      </c>
      <c r="M342" s="4" t="str">
        <f aca="false">IF(OR(D342="",K342=""),"",IF(D342=K342,"√","×"))</f>
        <v/>
      </c>
      <c r="N342" s="4" t="str">
        <f aca="false">IF(OR(E342="",L342=""),"",IF(E342=L342,"√","×"))</f>
        <v/>
      </c>
      <c r="O342" s="4"/>
      <c r="P342" s="4"/>
      <c r="Q342" s="4"/>
    </row>
    <row r="343" customFormat="false" ht="15" hidden="false" customHeight="true" outlineLevel="0" collapsed="false">
      <c r="A343" s="8"/>
      <c r="B343" s="8"/>
      <c r="C343" s="9"/>
      <c r="D343" s="8"/>
      <c r="E343" s="8"/>
      <c r="F343" s="8"/>
      <c r="G343" s="8"/>
      <c r="H343" s="8"/>
      <c r="I343" s="9"/>
      <c r="J343" s="11" t="str">
        <f aca="false">IF(OR(I343="",C343=""),"",(I343-C343)/C343)</f>
        <v/>
      </c>
      <c r="K343" s="8" t="str">
        <f aca="false">IF(J343="","",IF(J343&gt;0,"涨",IF(J343&lt;0,"跌","平")))</f>
        <v/>
      </c>
      <c r="L343" s="8" t="str">
        <f aca="false">IF(J343="","",IF(ABS(J343)&lt;=0.003,"小",IF(ABS(J343)&lt;=0.01,"中","大")))</f>
        <v/>
      </c>
      <c r="M343" s="8" t="str">
        <f aca="false">IF(OR(D343="",K343=""),"",IF(D343=K343,"√","×"))</f>
        <v/>
      </c>
      <c r="N343" s="8" t="str">
        <f aca="false">IF(OR(E343="",L343=""),"",IF(E343=L343,"√","×"))</f>
        <v/>
      </c>
      <c r="O343" s="8"/>
      <c r="P343" s="8"/>
      <c r="Q343" s="8"/>
    </row>
    <row r="344" customFormat="false" ht="15" hidden="false" customHeight="true" outlineLevel="0" collapsed="false">
      <c r="A344" s="4"/>
      <c r="B344" s="4"/>
      <c r="C344" s="5"/>
      <c r="D344" s="4"/>
      <c r="E344" s="4"/>
      <c r="F344" s="4"/>
      <c r="G344" s="4"/>
      <c r="H344" s="4"/>
      <c r="I344" s="5"/>
      <c r="J344" s="7" t="str">
        <f aca="false">IF(OR(I344="",C344=""),"",(I344-C344)/C344)</f>
        <v/>
      </c>
      <c r="K344" s="4" t="str">
        <f aca="false">IF(J344="","",IF(J344&gt;0,"涨",IF(J344&lt;0,"跌","平")))</f>
        <v/>
      </c>
      <c r="L344" s="4" t="str">
        <f aca="false">IF(J344="","",IF(ABS(J344)&lt;=0.003,"小",IF(ABS(J344)&lt;=0.01,"中","大")))</f>
        <v/>
      </c>
      <c r="M344" s="4" t="str">
        <f aca="false">IF(OR(D344="",K344=""),"",IF(D344=K344,"√","×"))</f>
        <v/>
      </c>
      <c r="N344" s="4" t="str">
        <f aca="false">IF(OR(E344="",L344=""),"",IF(E344=L344,"√","×"))</f>
        <v/>
      </c>
      <c r="O344" s="4"/>
      <c r="P344" s="4"/>
      <c r="Q344" s="4"/>
    </row>
    <row r="345" customFormat="false" ht="15" hidden="false" customHeight="true" outlineLevel="0" collapsed="false">
      <c r="A345" s="8"/>
      <c r="B345" s="8"/>
      <c r="C345" s="9"/>
      <c r="D345" s="8"/>
      <c r="E345" s="8"/>
      <c r="F345" s="8"/>
      <c r="G345" s="8"/>
      <c r="H345" s="8"/>
      <c r="I345" s="9"/>
      <c r="J345" s="11" t="str">
        <f aca="false">IF(OR(I345="",C345=""),"",(I345-C345)/C345)</f>
        <v/>
      </c>
      <c r="K345" s="8" t="str">
        <f aca="false">IF(J345="","",IF(J345&gt;0,"涨",IF(J345&lt;0,"跌","平")))</f>
        <v/>
      </c>
      <c r="L345" s="8" t="str">
        <f aca="false">IF(J345="","",IF(ABS(J345)&lt;=0.003,"小",IF(ABS(J345)&lt;=0.01,"中","大")))</f>
        <v/>
      </c>
      <c r="M345" s="8" t="str">
        <f aca="false">IF(OR(D345="",K345=""),"",IF(D345=K345,"√","×"))</f>
        <v/>
      </c>
      <c r="N345" s="8" t="str">
        <f aca="false">IF(OR(E345="",L345=""),"",IF(E345=L345,"√","×"))</f>
        <v/>
      </c>
      <c r="O345" s="8"/>
      <c r="P345" s="8"/>
      <c r="Q345" s="8"/>
    </row>
    <row r="346" customFormat="false" ht="15" hidden="false" customHeight="true" outlineLevel="0" collapsed="false">
      <c r="A346" s="4"/>
      <c r="B346" s="4"/>
      <c r="C346" s="5"/>
      <c r="D346" s="4"/>
      <c r="E346" s="4"/>
      <c r="F346" s="4"/>
      <c r="G346" s="4"/>
      <c r="H346" s="4"/>
      <c r="I346" s="5"/>
      <c r="J346" s="7" t="str">
        <f aca="false">IF(OR(I346="",C346=""),"",(I346-C346)/C346)</f>
        <v/>
      </c>
      <c r="K346" s="4" t="str">
        <f aca="false">IF(J346="","",IF(J346&gt;0,"涨",IF(J346&lt;0,"跌","平")))</f>
        <v/>
      </c>
      <c r="L346" s="4" t="str">
        <f aca="false">IF(J346="","",IF(ABS(J346)&lt;=0.003,"小",IF(ABS(J346)&lt;=0.01,"中","大")))</f>
        <v/>
      </c>
      <c r="M346" s="4" t="str">
        <f aca="false">IF(OR(D346="",K346=""),"",IF(D346=K346,"√","×"))</f>
        <v/>
      </c>
      <c r="N346" s="4" t="str">
        <f aca="false">IF(OR(E346="",L346=""),"",IF(E346=L346,"√","×"))</f>
        <v/>
      </c>
      <c r="O346" s="4"/>
      <c r="P346" s="4"/>
      <c r="Q346" s="4"/>
    </row>
    <row r="347" customFormat="false" ht="15" hidden="false" customHeight="true" outlineLevel="0" collapsed="false">
      <c r="A347" s="8"/>
      <c r="B347" s="8"/>
      <c r="C347" s="9"/>
      <c r="D347" s="8"/>
      <c r="E347" s="8"/>
      <c r="F347" s="8"/>
      <c r="G347" s="8"/>
      <c r="H347" s="8"/>
      <c r="I347" s="9"/>
      <c r="J347" s="11" t="str">
        <f aca="false">IF(OR(I347="",C347=""),"",(I347-C347)/C347)</f>
        <v/>
      </c>
      <c r="K347" s="8" t="str">
        <f aca="false">IF(J347="","",IF(J347&gt;0,"涨",IF(J347&lt;0,"跌","平")))</f>
        <v/>
      </c>
      <c r="L347" s="8" t="str">
        <f aca="false">IF(J347="","",IF(ABS(J347)&lt;=0.003,"小",IF(ABS(J347)&lt;=0.01,"中","大")))</f>
        <v/>
      </c>
      <c r="M347" s="8" t="str">
        <f aca="false">IF(OR(D347="",K347=""),"",IF(D347=K347,"√","×"))</f>
        <v/>
      </c>
      <c r="N347" s="8" t="str">
        <f aca="false">IF(OR(E347="",L347=""),"",IF(E347=L347,"√","×"))</f>
        <v/>
      </c>
      <c r="O347" s="8"/>
      <c r="P347" s="8"/>
      <c r="Q347" s="8"/>
    </row>
    <row r="348" customFormat="false" ht="15" hidden="false" customHeight="true" outlineLevel="0" collapsed="false">
      <c r="A348" s="4"/>
      <c r="B348" s="4"/>
      <c r="C348" s="5"/>
      <c r="D348" s="4"/>
      <c r="E348" s="4"/>
      <c r="F348" s="4"/>
      <c r="G348" s="4"/>
      <c r="H348" s="4"/>
      <c r="I348" s="5"/>
      <c r="J348" s="7" t="str">
        <f aca="false">IF(OR(I348="",C348=""),"",(I348-C348)/C348)</f>
        <v/>
      </c>
      <c r="K348" s="4" t="str">
        <f aca="false">IF(J348="","",IF(J348&gt;0,"涨",IF(J348&lt;0,"跌","平")))</f>
        <v/>
      </c>
      <c r="L348" s="4" t="str">
        <f aca="false">IF(J348="","",IF(ABS(J348)&lt;=0.003,"小",IF(ABS(J348)&lt;=0.01,"中","大")))</f>
        <v/>
      </c>
      <c r="M348" s="4" t="str">
        <f aca="false">IF(OR(D348="",K348=""),"",IF(D348=K348,"√","×"))</f>
        <v/>
      </c>
      <c r="N348" s="4" t="str">
        <f aca="false">IF(OR(E348="",L348=""),"",IF(E348=L348,"√","×"))</f>
        <v/>
      </c>
      <c r="O348" s="4"/>
      <c r="P348" s="4"/>
      <c r="Q348" s="4"/>
    </row>
    <row r="349" customFormat="false" ht="15" hidden="false" customHeight="true" outlineLevel="0" collapsed="false">
      <c r="A349" s="8"/>
      <c r="B349" s="8"/>
      <c r="C349" s="9"/>
      <c r="D349" s="8"/>
      <c r="E349" s="8"/>
      <c r="F349" s="8"/>
      <c r="G349" s="8"/>
      <c r="H349" s="8"/>
      <c r="I349" s="9"/>
      <c r="J349" s="11" t="str">
        <f aca="false">IF(OR(I349="",C349=""),"",(I349-C349)/C349)</f>
        <v/>
      </c>
      <c r="K349" s="8" t="str">
        <f aca="false">IF(J349="","",IF(J349&gt;0,"涨",IF(J349&lt;0,"跌","平")))</f>
        <v/>
      </c>
      <c r="L349" s="8" t="str">
        <f aca="false">IF(J349="","",IF(ABS(J349)&lt;=0.003,"小",IF(ABS(J349)&lt;=0.01,"中","大")))</f>
        <v/>
      </c>
      <c r="M349" s="8" t="str">
        <f aca="false">IF(OR(D349="",K349=""),"",IF(D349=K349,"√","×"))</f>
        <v/>
      </c>
      <c r="N349" s="8" t="str">
        <f aca="false">IF(OR(E349="",L349=""),"",IF(E349=L349,"√","×"))</f>
        <v/>
      </c>
      <c r="O349" s="8"/>
      <c r="P349" s="8"/>
      <c r="Q349" s="8"/>
    </row>
    <row r="350" customFormat="false" ht="15" hidden="false" customHeight="true" outlineLevel="0" collapsed="false">
      <c r="A350" s="4"/>
      <c r="B350" s="4"/>
      <c r="C350" s="5"/>
      <c r="D350" s="4"/>
      <c r="E350" s="4"/>
      <c r="F350" s="4"/>
      <c r="G350" s="4"/>
      <c r="H350" s="4"/>
      <c r="I350" s="5"/>
      <c r="J350" s="7" t="str">
        <f aca="false">IF(OR(I350="",C350=""),"",(I350-C350)/C350)</f>
        <v/>
      </c>
      <c r="K350" s="4" t="str">
        <f aca="false">IF(J350="","",IF(J350&gt;0,"涨",IF(J350&lt;0,"跌","平")))</f>
        <v/>
      </c>
      <c r="L350" s="4" t="str">
        <f aca="false">IF(J350="","",IF(ABS(J350)&lt;=0.003,"小",IF(ABS(J350)&lt;=0.01,"中","大")))</f>
        <v/>
      </c>
      <c r="M350" s="4" t="str">
        <f aca="false">IF(OR(D350="",K350=""),"",IF(D350=K350,"√","×"))</f>
        <v/>
      </c>
      <c r="N350" s="4" t="str">
        <f aca="false">IF(OR(E350="",L350=""),"",IF(E350=L350,"√","×"))</f>
        <v/>
      </c>
      <c r="O350" s="4"/>
      <c r="P350" s="4"/>
      <c r="Q350" s="4"/>
    </row>
    <row r="351" customFormat="false" ht="15" hidden="false" customHeight="true" outlineLevel="0" collapsed="false">
      <c r="A351" s="8"/>
      <c r="B351" s="8"/>
      <c r="C351" s="9"/>
      <c r="D351" s="8"/>
      <c r="E351" s="8"/>
      <c r="F351" s="8"/>
      <c r="G351" s="8"/>
      <c r="H351" s="8"/>
      <c r="I351" s="9"/>
      <c r="J351" s="11" t="str">
        <f aca="false">IF(OR(I351="",C351=""),"",(I351-C351)/C351)</f>
        <v/>
      </c>
      <c r="K351" s="8" t="str">
        <f aca="false">IF(J351="","",IF(J351&gt;0,"涨",IF(J351&lt;0,"跌","平")))</f>
        <v/>
      </c>
      <c r="L351" s="8" t="str">
        <f aca="false">IF(J351="","",IF(ABS(J351)&lt;=0.003,"小",IF(ABS(J351)&lt;=0.01,"中","大")))</f>
        <v/>
      </c>
      <c r="M351" s="8" t="str">
        <f aca="false">IF(OR(D351="",K351=""),"",IF(D351=K351,"√","×"))</f>
        <v/>
      </c>
      <c r="N351" s="8" t="str">
        <f aca="false">IF(OR(E351="",L351=""),"",IF(E351=L351,"√","×"))</f>
        <v/>
      </c>
      <c r="O351" s="8"/>
      <c r="P351" s="8"/>
      <c r="Q351" s="8"/>
    </row>
    <row r="352" customFormat="false" ht="15" hidden="false" customHeight="true" outlineLevel="0" collapsed="false">
      <c r="A352" s="4"/>
      <c r="B352" s="4"/>
      <c r="C352" s="5"/>
      <c r="D352" s="4"/>
      <c r="E352" s="4"/>
      <c r="F352" s="4"/>
      <c r="G352" s="4"/>
      <c r="H352" s="4"/>
      <c r="I352" s="5"/>
      <c r="J352" s="7" t="str">
        <f aca="false">IF(OR(I352="",C352=""),"",(I352-C352)/C352)</f>
        <v/>
      </c>
      <c r="K352" s="4" t="str">
        <f aca="false">IF(J352="","",IF(J352&gt;0,"涨",IF(J352&lt;0,"跌","平")))</f>
        <v/>
      </c>
      <c r="L352" s="4" t="str">
        <f aca="false">IF(J352="","",IF(ABS(J352)&lt;=0.003,"小",IF(ABS(J352)&lt;=0.01,"中","大")))</f>
        <v/>
      </c>
      <c r="M352" s="4" t="str">
        <f aca="false">IF(OR(D352="",K352=""),"",IF(D352=K352,"√","×"))</f>
        <v/>
      </c>
      <c r="N352" s="4" t="str">
        <f aca="false">IF(OR(E352="",L352=""),"",IF(E352=L352,"√","×"))</f>
        <v/>
      </c>
      <c r="O352" s="4"/>
      <c r="P352" s="4"/>
      <c r="Q352" s="4"/>
    </row>
    <row r="353" customFormat="false" ht="15" hidden="false" customHeight="true" outlineLevel="0" collapsed="false">
      <c r="A353" s="8"/>
      <c r="B353" s="8"/>
      <c r="C353" s="9"/>
      <c r="D353" s="8"/>
      <c r="E353" s="8"/>
      <c r="F353" s="8"/>
      <c r="G353" s="8"/>
      <c r="H353" s="8"/>
      <c r="I353" s="9"/>
      <c r="J353" s="11" t="str">
        <f aca="false">IF(OR(I353="",C353=""),"",(I353-C353)/C353)</f>
        <v/>
      </c>
      <c r="K353" s="8" t="str">
        <f aca="false">IF(J353="","",IF(J353&gt;0,"涨",IF(J353&lt;0,"跌","平")))</f>
        <v/>
      </c>
      <c r="L353" s="8" t="str">
        <f aca="false">IF(J353="","",IF(ABS(J353)&lt;=0.003,"小",IF(ABS(J353)&lt;=0.01,"中","大")))</f>
        <v/>
      </c>
      <c r="M353" s="8" t="str">
        <f aca="false">IF(OR(D353="",K353=""),"",IF(D353=K353,"√","×"))</f>
        <v/>
      </c>
      <c r="N353" s="8" t="str">
        <f aca="false">IF(OR(E353="",L353=""),"",IF(E353=L353,"√","×"))</f>
        <v/>
      </c>
      <c r="O353" s="8"/>
      <c r="P353" s="8"/>
      <c r="Q353" s="8"/>
    </row>
    <row r="354" customFormat="false" ht="15" hidden="false" customHeight="true" outlineLevel="0" collapsed="false">
      <c r="A354" s="4"/>
      <c r="B354" s="4"/>
      <c r="C354" s="5"/>
      <c r="D354" s="4"/>
      <c r="E354" s="4"/>
      <c r="F354" s="4"/>
      <c r="G354" s="4"/>
      <c r="H354" s="4"/>
      <c r="I354" s="5"/>
      <c r="J354" s="7" t="str">
        <f aca="false">IF(OR(I354="",C354=""),"",(I354-C354)/C354)</f>
        <v/>
      </c>
      <c r="K354" s="4" t="str">
        <f aca="false">IF(J354="","",IF(J354&gt;0,"涨",IF(J354&lt;0,"跌","平")))</f>
        <v/>
      </c>
      <c r="L354" s="4" t="str">
        <f aca="false">IF(J354="","",IF(ABS(J354)&lt;=0.003,"小",IF(ABS(J354)&lt;=0.01,"中","大")))</f>
        <v/>
      </c>
      <c r="M354" s="4" t="str">
        <f aca="false">IF(OR(D354="",K354=""),"",IF(D354=K354,"√","×"))</f>
        <v/>
      </c>
      <c r="N354" s="4" t="str">
        <f aca="false">IF(OR(E354="",L354=""),"",IF(E354=L354,"√","×"))</f>
        <v/>
      </c>
      <c r="O354" s="4"/>
      <c r="P354" s="4"/>
      <c r="Q354" s="4"/>
    </row>
    <row r="355" customFormat="false" ht="15" hidden="false" customHeight="true" outlineLevel="0" collapsed="false">
      <c r="A355" s="8"/>
      <c r="B355" s="8"/>
      <c r="C355" s="9"/>
      <c r="D355" s="8"/>
      <c r="E355" s="8"/>
      <c r="F355" s="8"/>
      <c r="G355" s="8"/>
      <c r="H355" s="8"/>
      <c r="I355" s="9"/>
      <c r="J355" s="11" t="str">
        <f aca="false">IF(OR(I355="",C355=""),"",(I355-C355)/C355)</f>
        <v/>
      </c>
      <c r="K355" s="8" t="str">
        <f aca="false">IF(J355="","",IF(J355&gt;0,"涨",IF(J355&lt;0,"跌","平")))</f>
        <v/>
      </c>
      <c r="L355" s="8" t="str">
        <f aca="false">IF(J355="","",IF(ABS(J355)&lt;=0.003,"小",IF(ABS(J355)&lt;=0.01,"中","大")))</f>
        <v/>
      </c>
      <c r="M355" s="8" t="str">
        <f aca="false">IF(OR(D355="",K355=""),"",IF(D355=K355,"√","×"))</f>
        <v/>
      </c>
      <c r="N355" s="8" t="str">
        <f aca="false">IF(OR(E355="",L355=""),"",IF(E355=L355,"√","×"))</f>
        <v/>
      </c>
      <c r="O355" s="8"/>
      <c r="P355" s="8"/>
      <c r="Q355" s="8"/>
    </row>
    <row r="356" customFormat="false" ht="15" hidden="false" customHeight="true" outlineLevel="0" collapsed="false">
      <c r="A356" s="4"/>
      <c r="B356" s="4"/>
      <c r="C356" s="5"/>
      <c r="D356" s="4"/>
      <c r="E356" s="4"/>
      <c r="F356" s="4"/>
      <c r="G356" s="4"/>
      <c r="H356" s="4"/>
      <c r="I356" s="5"/>
      <c r="J356" s="7" t="str">
        <f aca="false">IF(OR(I356="",C356=""),"",(I356-C356)/C356)</f>
        <v/>
      </c>
      <c r="K356" s="4" t="str">
        <f aca="false">IF(J356="","",IF(J356&gt;0,"涨",IF(J356&lt;0,"跌","平")))</f>
        <v/>
      </c>
      <c r="L356" s="4" t="str">
        <f aca="false">IF(J356="","",IF(ABS(J356)&lt;=0.003,"小",IF(ABS(J356)&lt;=0.01,"中","大")))</f>
        <v/>
      </c>
      <c r="M356" s="4" t="str">
        <f aca="false">IF(OR(D356="",K356=""),"",IF(D356=K356,"√","×"))</f>
        <v/>
      </c>
      <c r="N356" s="4" t="str">
        <f aca="false">IF(OR(E356="",L356=""),"",IF(E356=L356,"√","×"))</f>
        <v/>
      </c>
      <c r="O356" s="4"/>
      <c r="P356" s="4"/>
      <c r="Q356" s="4"/>
    </row>
    <row r="357" customFormat="false" ht="15" hidden="false" customHeight="true" outlineLevel="0" collapsed="false">
      <c r="A357" s="8"/>
      <c r="B357" s="8"/>
      <c r="C357" s="9"/>
      <c r="D357" s="8"/>
      <c r="E357" s="8"/>
      <c r="F357" s="8"/>
      <c r="G357" s="8"/>
      <c r="H357" s="8"/>
      <c r="I357" s="9"/>
      <c r="J357" s="11" t="str">
        <f aca="false">IF(OR(I357="",C357=""),"",(I357-C357)/C357)</f>
        <v/>
      </c>
      <c r="K357" s="8" t="str">
        <f aca="false">IF(J357="","",IF(J357&gt;0,"涨",IF(J357&lt;0,"跌","平")))</f>
        <v/>
      </c>
      <c r="L357" s="8" t="str">
        <f aca="false">IF(J357="","",IF(ABS(J357)&lt;=0.003,"小",IF(ABS(J357)&lt;=0.01,"中","大")))</f>
        <v/>
      </c>
      <c r="M357" s="8" t="str">
        <f aca="false">IF(OR(D357="",K357=""),"",IF(D357=K357,"√","×"))</f>
        <v/>
      </c>
      <c r="N357" s="8" t="str">
        <f aca="false">IF(OR(E357="",L357=""),"",IF(E357=L357,"√","×"))</f>
        <v/>
      </c>
      <c r="O357" s="8"/>
      <c r="P357" s="8"/>
      <c r="Q357" s="8"/>
    </row>
    <row r="358" customFormat="false" ht="15" hidden="false" customHeight="true" outlineLevel="0" collapsed="false">
      <c r="A358" s="4"/>
      <c r="B358" s="4"/>
      <c r="C358" s="5"/>
      <c r="D358" s="4"/>
      <c r="E358" s="4"/>
      <c r="F358" s="4"/>
      <c r="G358" s="4"/>
      <c r="H358" s="4"/>
      <c r="I358" s="5"/>
      <c r="J358" s="7" t="str">
        <f aca="false">IF(OR(I358="",C358=""),"",(I358-C358)/C358)</f>
        <v/>
      </c>
      <c r="K358" s="4" t="str">
        <f aca="false">IF(J358="","",IF(J358&gt;0,"涨",IF(J358&lt;0,"跌","平")))</f>
        <v/>
      </c>
      <c r="L358" s="4" t="str">
        <f aca="false">IF(J358="","",IF(ABS(J358)&lt;=0.003,"小",IF(ABS(J358)&lt;=0.01,"中","大")))</f>
        <v/>
      </c>
      <c r="M358" s="4" t="str">
        <f aca="false">IF(OR(D358="",K358=""),"",IF(D358=K358,"√","×"))</f>
        <v/>
      </c>
      <c r="N358" s="4" t="str">
        <f aca="false">IF(OR(E358="",L358=""),"",IF(E358=L358,"√","×"))</f>
        <v/>
      </c>
      <c r="O358" s="4"/>
      <c r="P358" s="4"/>
      <c r="Q358" s="4"/>
    </row>
    <row r="359" customFormat="false" ht="15" hidden="false" customHeight="true" outlineLevel="0" collapsed="false">
      <c r="A359" s="8"/>
      <c r="B359" s="8"/>
      <c r="C359" s="9"/>
      <c r="D359" s="8"/>
      <c r="E359" s="8"/>
      <c r="F359" s="8"/>
      <c r="G359" s="8"/>
      <c r="H359" s="8"/>
      <c r="I359" s="9"/>
      <c r="J359" s="11" t="str">
        <f aca="false">IF(OR(I359="",C359=""),"",(I359-C359)/C359)</f>
        <v/>
      </c>
      <c r="K359" s="8" t="str">
        <f aca="false">IF(J359="","",IF(J359&gt;0,"涨",IF(J359&lt;0,"跌","平")))</f>
        <v/>
      </c>
      <c r="L359" s="8" t="str">
        <f aca="false">IF(J359="","",IF(ABS(J359)&lt;=0.003,"小",IF(ABS(J359)&lt;=0.01,"中","大")))</f>
        <v/>
      </c>
      <c r="M359" s="8" t="str">
        <f aca="false">IF(OR(D359="",K359=""),"",IF(D359=K359,"√","×"))</f>
        <v/>
      </c>
      <c r="N359" s="8" t="str">
        <f aca="false">IF(OR(E359="",L359=""),"",IF(E359=L359,"√","×"))</f>
        <v/>
      </c>
      <c r="O359" s="8"/>
      <c r="P359" s="8"/>
      <c r="Q359" s="8"/>
    </row>
    <row r="360" customFormat="false" ht="15" hidden="false" customHeight="true" outlineLevel="0" collapsed="false">
      <c r="A360" s="4"/>
      <c r="B360" s="4"/>
      <c r="C360" s="5"/>
      <c r="D360" s="4"/>
      <c r="E360" s="4"/>
      <c r="F360" s="4"/>
      <c r="G360" s="4"/>
      <c r="H360" s="4"/>
      <c r="I360" s="5"/>
      <c r="J360" s="7" t="str">
        <f aca="false">IF(OR(I360="",C360=""),"",(I360-C360)/C360)</f>
        <v/>
      </c>
      <c r="K360" s="4" t="str">
        <f aca="false">IF(J360="","",IF(J360&gt;0,"涨",IF(J360&lt;0,"跌","平")))</f>
        <v/>
      </c>
      <c r="L360" s="4" t="str">
        <f aca="false">IF(J360="","",IF(ABS(J360)&lt;=0.003,"小",IF(ABS(J360)&lt;=0.01,"中","大")))</f>
        <v/>
      </c>
      <c r="M360" s="4" t="str">
        <f aca="false">IF(OR(D360="",K360=""),"",IF(D360=K360,"√","×"))</f>
        <v/>
      </c>
      <c r="N360" s="4" t="str">
        <f aca="false">IF(OR(E360="",L360=""),"",IF(E360=L360,"√","×"))</f>
        <v/>
      </c>
      <c r="O360" s="4"/>
      <c r="P360" s="4"/>
      <c r="Q360" s="4"/>
    </row>
    <row r="361" customFormat="false" ht="15" hidden="false" customHeight="true" outlineLevel="0" collapsed="false">
      <c r="A361" s="8"/>
      <c r="B361" s="8"/>
      <c r="C361" s="9"/>
      <c r="D361" s="8"/>
      <c r="E361" s="8"/>
      <c r="F361" s="8"/>
      <c r="G361" s="8"/>
      <c r="H361" s="8"/>
      <c r="I361" s="9"/>
      <c r="J361" s="11" t="str">
        <f aca="false">IF(OR(I361="",C361=""),"",(I361-C361)/C361)</f>
        <v/>
      </c>
      <c r="K361" s="8" t="str">
        <f aca="false">IF(J361="","",IF(J361&gt;0,"涨",IF(J361&lt;0,"跌","平")))</f>
        <v/>
      </c>
      <c r="L361" s="8" t="str">
        <f aca="false">IF(J361="","",IF(ABS(J361)&lt;=0.003,"小",IF(ABS(J361)&lt;=0.01,"中","大")))</f>
        <v/>
      </c>
      <c r="M361" s="8" t="str">
        <f aca="false">IF(OR(D361="",K361=""),"",IF(D361=K361,"√","×"))</f>
        <v/>
      </c>
      <c r="N361" s="8" t="str">
        <f aca="false">IF(OR(E361="",L361=""),"",IF(E361=L361,"√","×"))</f>
        <v/>
      </c>
      <c r="O361" s="8"/>
      <c r="P361" s="8"/>
      <c r="Q361" s="8"/>
    </row>
    <row r="362" customFormat="false" ht="15" hidden="false" customHeight="true" outlineLevel="0" collapsed="false">
      <c r="A362" s="4"/>
      <c r="B362" s="4"/>
      <c r="C362" s="5"/>
      <c r="D362" s="4"/>
      <c r="E362" s="4"/>
      <c r="F362" s="4"/>
      <c r="G362" s="4"/>
      <c r="H362" s="4"/>
      <c r="I362" s="5"/>
      <c r="J362" s="7" t="str">
        <f aca="false">IF(OR(I362="",C362=""),"",(I362-C362)/C362)</f>
        <v/>
      </c>
      <c r="K362" s="4" t="str">
        <f aca="false">IF(J362="","",IF(J362&gt;0,"涨",IF(J362&lt;0,"跌","平")))</f>
        <v/>
      </c>
      <c r="L362" s="4" t="str">
        <f aca="false">IF(J362="","",IF(ABS(J362)&lt;=0.003,"小",IF(ABS(J362)&lt;=0.01,"中","大")))</f>
        <v/>
      </c>
      <c r="M362" s="4" t="str">
        <f aca="false">IF(OR(D362="",K362=""),"",IF(D362=K362,"√","×"))</f>
        <v/>
      </c>
      <c r="N362" s="4" t="str">
        <f aca="false">IF(OR(E362="",L362=""),"",IF(E362=L362,"√","×"))</f>
        <v/>
      </c>
      <c r="O362" s="4"/>
      <c r="P362" s="4"/>
      <c r="Q362" s="4"/>
    </row>
    <row r="363" customFormat="false" ht="15" hidden="false" customHeight="true" outlineLevel="0" collapsed="false">
      <c r="A363" s="8"/>
      <c r="B363" s="8"/>
      <c r="C363" s="9"/>
      <c r="D363" s="8"/>
      <c r="E363" s="8"/>
      <c r="F363" s="8"/>
      <c r="G363" s="8"/>
      <c r="H363" s="8"/>
      <c r="I363" s="9"/>
      <c r="J363" s="11" t="str">
        <f aca="false">IF(OR(I363="",C363=""),"",(I363-C363)/C363)</f>
        <v/>
      </c>
      <c r="K363" s="8" t="str">
        <f aca="false">IF(J363="","",IF(J363&gt;0,"涨",IF(J363&lt;0,"跌","平")))</f>
        <v/>
      </c>
      <c r="L363" s="8" t="str">
        <f aca="false">IF(J363="","",IF(ABS(J363)&lt;=0.003,"小",IF(ABS(J363)&lt;=0.01,"中","大")))</f>
        <v/>
      </c>
      <c r="M363" s="8" t="str">
        <f aca="false">IF(OR(D363="",K363=""),"",IF(D363=K363,"√","×"))</f>
        <v/>
      </c>
      <c r="N363" s="8" t="str">
        <f aca="false">IF(OR(E363="",L363=""),"",IF(E363=L363,"√","×"))</f>
        <v/>
      </c>
      <c r="O363" s="8"/>
      <c r="P363" s="8"/>
      <c r="Q363" s="8"/>
    </row>
    <row r="364" customFormat="false" ht="15" hidden="false" customHeight="true" outlineLevel="0" collapsed="false">
      <c r="A364" s="4"/>
      <c r="B364" s="4"/>
      <c r="C364" s="5"/>
      <c r="D364" s="4"/>
      <c r="E364" s="4"/>
      <c r="F364" s="4"/>
      <c r="G364" s="4"/>
      <c r="H364" s="4"/>
      <c r="I364" s="5"/>
      <c r="J364" s="7" t="str">
        <f aca="false">IF(OR(I364="",C364=""),"",(I364-C364)/C364)</f>
        <v/>
      </c>
      <c r="K364" s="4" t="str">
        <f aca="false">IF(J364="","",IF(J364&gt;0,"涨",IF(J364&lt;0,"跌","平")))</f>
        <v/>
      </c>
      <c r="L364" s="4" t="str">
        <f aca="false">IF(J364="","",IF(ABS(J364)&lt;=0.003,"小",IF(ABS(J364)&lt;=0.01,"中","大")))</f>
        <v/>
      </c>
      <c r="M364" s="4" t="str">
        <f aca="false">IF(OR(D364="",K364=""),"",IF(D364=K364,"√","×"))</f>
        <v/>
      </c>
      <c r="N364" s="4" t="str">
        <f aca="false">IF(OR(E364="",L364=""),"",IF(E364=L364,"√","×"))</f>
        <v/>
      </c>
      <c r="O364" s="4"/>
      <c r="P364" s="4"/>
      <c r="Q364" s="4"/>
    </row>
    <row r="365" customFormat="false" ht="15" hidden="false" customHeight="true" outlineLevel="0" collapsed="false">
      <c r="A365" s="8"/>
      <c r="B365" s="8"/>
      <c r="C365" s="9"/>
      <c r="D365" s="8"/>
      <c r="E365" s="8"/>
      <c r="F365" s="8"/>
      <c r="G365" s="8"/>
      <c r="H365" s="8"/>
      <c r="I365" s="9"/>
      <c r="J365" s="11" t="str">
        <f aca="false">IF(OR(I365="",C365=""),"",(I365-C365)/C365)</f>
        <v/>
      </c>
      <c r="K365" s="8" t="str">
        <f aca="false">IF(J365="","",IF(J365&gt;0,"涨",IF(J365&lt;0,"跌","平")))</f>
        <v/>
      </c>
      <c r="L365" s="8" t="str">
        <f aca="false">IF(J365="","",IF(ABS(J365)&lt;=0.003,"小",IF(ABS(J365)&lt;=0.01,"中","大")))</f>
        <v/>
      </c>
      <c r="M365" s="8" t="str">
        <f aca="false">IF(OR(D365="",K365=""),"",IF(D365=K365,"√","×"))</f>
        <v/>
      </c>
      <c r="N365" s="8" t="str">
        <f aca="false">IF(OR(E365="",L365=""),"",IF(E365=L365,"√","×"))</f>
        <v/>
      </c>
      <c r="O365" s="8"/>
      <c r="P365" s="8"/>
      <c r="Q365" s="8"/>
    </row>
    <row r="366" customFormat="false" ht="15" hidden="false" customHeight="true" outlineLevel="0" collapsed="false">
      <c r="A366" s="4"/>
      <c r="B366" s="4"/>
      <c r="C366" s="5"/>
      <c r="D366" s="4"/>
      <c r="E366" s="4"/>
      <c r="F366" s="4"/>
      <c r="G366" s="4"/>
      <c r="H366" s="4"/>
      <c r="I366" s="5"/>
      <c r="J366" s="7" t="str">
        <f aca="false">IF(OR(I366="",C366=""),"",(I366-C366)/C366)</f>
        <v/>
      </c>
      <c r="K366" s="4" t="str">
        <f aca="false">IF(J366="","",IF(J366&gt;0,"涨",IF(J366&lt;0,"跌","平")))</f>
        <v/>
      </c>
      <c r="L366" s="4" t="str">
        <f aca="false">IF(J366="","",IF(ABS(J366)&lt;=0.003,"小",IF(ABS(J366)&lt;=0.01,"中","大")))</f>
        <v/>
      </c>
      <c r="M366" s="4" t="str">
        <f aca="false">IF(OR(D366="",K366=""),"",IF(D366=K366,"√","×"))</f>
        <v/>
      </c>
      <c r="N366" s="4" t="str">
        <f aca="false">IF(OR(E366="",L366=""),"",IF(E366=L366,"√","×"))</f>
        <v/>
      </c>
      <c r="O366" s="4"/>
      <c r="P366" s="4"/>
      <c r="Q366" s="4"/>
    </row>
    <row r="367" customFormat="false" ht="15" hidden="false" customHeight="true" outlineLevel="0" collapsed="false">
      <c r="A367" s="8"/>
      <c r="B367" s="8"/>
      <c r="C367" s="9"/>
      <c r="D367" s="8"/>
      <c r="E367" s="8"/>
      <c r="F367" s="8"/>
      <c r="G367" s="8"/>
      <c r="H367" s="8"/>
      <c r="I367" s="9"/>
      <c r="J367" s="11" t="str">
        <f aca="false">IF(OR(I367="",C367=""),"",(I367-C367)/C367)</f>
        <v/>
      </c>
      <c r="K367" s="8" t="str">
        <f aca="false">IF(J367="","",IF(J367&gt;0,"涨",IF(J367&lt;0,"跌","平")))</f>
        <v/>
      </c>
      <c r="L367" s="8" t="str">
        <f aca="false">IF(J367="","",IF(ABS(J367)&lt;=0.003,"小",IF(ABS(J367)&lt;=0.01,"中","大")))</f>
        <v/>
      </c>
      <c r="M367" s="8" t="str">
        <f aca="false">IF(OR(D367="",K367=""),"",IF(D367=K367,"√","×"))</f>
        <v/>
      </c>
      <c r="N367" s="8" t="str">
        <f aca="false">IF(OR(E367="",L367=""),"",IF(E367=L367,"√","×"))</f>
        <v/>
      </c>
      <c r="O367" s="8"/>
      <c r="P367" s="8"/>
      <c r="Q367" s="8"/>
    </row>
    <row r="368" customFormat="false" ht="15" hidden="false" customHeight="true" outlineLevel="0" collapsed="false">
      <c r="A368" s="4"/>
      <c r="B368" s="4"/>
      <c r="C368" s="5"/>
      <c r="D368" s="4"/>
      <c r="E368" s="4"/>
      <c r="F368" s="4"/>
      <c r="G368" s="4"/>
      <c r="H368" s="4"/>
      <c r="I368" s="5"/>
      <c r="J368" s="7" t="str">
        <f aca="false">IF(OR(I368="",C368=""),"",(I368-C368)/C368)</f>
        <v/>
      </c>
      <c r="K368" s="4" t="str">
        <f aca="false">IF(J368="","",IF(J368&gt;0,"涨",IF(J368&lt;0,"跌","平")))</f>
        <v/>
      </c>
      <c r="L368" s="4" t="str">
        <f aca="false">IF(J368="","",IF(ABS(J368)&lt;=0.003,"小",IF(ABS(J368)&lt;=0.01,"中","大")))</f>
        <v/>
      </c>
      <c r="M368" s="4" t="str">
        <f aca="false">IF(OR(D368="",K368=""),"",IF(D368=K368,"√","×"))</f>
        <v/>
      </c>
      <c r="N368" s="4" t="str">
        <f aca="false">IF(OR(E368="",L368=""),"",IF(E368=L368,"√","×"))</f>
        <v/>
      </c>
      <c r="O368" s="4"/>
      <c r="P368" s="4"/>
      <c r="Q368" s="4"/>
    </row>
    <row r="369" customFormat="false" ht="15" hidden="false" customHeight="true" outlineLevel="0" collapsed="false">
      <c r="A369" s="8"/>
      <c r="B369" s="8"/>
      <c r="C369" s="9"/>
      <c r="D369" s="8"/>
      <c r="E369" s="8"/>
      <c r="F369" s="8"/>
      <c r="G369" s="8"/>
      <c r="H369" s="8"/>
      <c r="I369" s="9"/>
      <c r="J369" s="11" t="str">
        <f aca="false">IF(OR(I369="",C369=""),"",(I369-C369)/C369)</f>
        <v/>
      </c>
      <c r="K369" s="8" t="str">
        <f aca="false">IF(J369="","",IF(J369&gt;0,"涨",IF(J369&lt;0,"跌","平")))</f>
        <v/>
      </c>
      <c r="L369" s="8" t="str">
        <f aca="false">IF(J369="","",IF(ABS(J369)&lt;=0.003,"小",IF(ABS(J369)&lt;=0.01,"中","大")))</f>
        <v/>
      </c>
      <c r="M369" s="8" t="str">
        <f aca="false">IF(OR(D369="",K369=""),"",IF(D369=K369,"√","×"))</f>
        <v/>
      </c>
      <c r="N369" s="8" t="str">
        <f aca="false">IF(OR(E369="",L369=""),"",IF(E369=L369,"√","×"))</f>
        <v/>
      </c>
      <c r="O369" s="8"/>
      <c r="P369" s="8"/>
      <c r="Q369" s="8"/>
    </row>
    <row r="370" customFormat="false" ht="15" hidden="false" customHeight="true" outlineLevel="0" collapsed="false">
      <c r="A370" s="4"/>
      <c r="B370" s="4"/>
      <c r="C370" s="5"/>
      <c r="D370" s="4"/>
      <c r="E370" s="4"/>
      <c r="F370" s="4"/>
      <c r="G370" s="4"/>
      <c r="H370" s="4"/>
      <c r="I370" s="5"/>
      <c r="J370" s="7" t="str">
        <f aca="false">IF(OR(I370="",C370=""),"",(I370-C370)/C370)</f>
        <v/>
      </c>
      <c r="K370" s="4" t="str">
        <f aca="false">IF(J370="","",IF(J370&gt;0,"涨",IF(J370&lt;0,"跌","平")))</f>
        <v/>
      </c>
      <c r="L370" s="4" t="str">
        <f aca="false">IF(J370="","",IF(ABS(J370)&lt;=0.003,"小",IF(ABS(J370)&lt;=0.01,"中","大")))</f>
        <v/>
      </c>
      <c r="M370" s="4" t="str">
        <f aca="false">IF(OR(D370="",K370=""),"",IF(D370=K370,"√","×"))</f>
        <v/>
      </c>
      <c r="N370" s="4" t="str">
        <f aca="false">IF(OR(E370="",L370=""),"",IF(E370=L370,"√","×"))</f>
        <v/>
      </c>
      <c r="O370" s="4"/>
      <c r="P370" s="4"/>
      <c r="Q370" s="4"/>
    </row>
    <row r="371" customFormat="false" ht="15" hidden="false" customHeight="true" outlineLevel="0" collapsed="false">
      <c r="A371" s="8"/>
      <c r="B371" s="8"/>
      <c r="C371" s="9"/>
      <c r="D371" s="8"/>
      <c r="E371" s="8"/>
      <c r="F371" s="8"/>
      <c r="G371" s="8"/>
      <c r="H371" s="8"/>
      <c r="I371" s="9"/>
      <c r="J371" s="11" t="str">
        <f aca="false">IF(OR(I371="",C371=""),"",(I371-C371)/C371)</f>
        <v/>
      </c>
      <c r="K371" s="8" t="str">
        <f aca="false">IF(J371="","",IF(J371&gt;0,"涨",IF(J371&lt;0,"跌","平")))</f>
        <v/>
      </c>
      <c r="L371" s="8" t="str">
        <f aca="false">IF(J371="","",IF(ABS(J371)&lt;=0.003,"小",IF(ABS(J371)&lt;=0.01,"中","大")))</f>
        <v/>
      </c>
      <c r="M371" s="8" t="str">
        <f aca="false">IF(OR(D371="",K371=""),"",IF(D371=K371,"√","×"))</f>
        <v/>
      </c>
      <c r="N371" s="8" t="str">
        <f aca="false">IF(OR(E371="",L371=""),"",IF(E371=L371,"√","×"))</f>
        <v/>
      </c>
      <c r="O371" s="8"/>
      <c r="P371" s="8"/>
      <c r="Q371" s="8"/>
    </row>
    <row r="372" customFormat="false" ht="15" hidden="false" customHeight="true" outlineLevel="0" collapsed="false">
      <c r="A372" s="4"/>
      <c r="B372" s="4"/>
      <c r="C372" s="5"/>
      <c r="D372" s="4"/>
      <c r="E372" s="4"/>
      <c r="F372" s="4"/>
      <c r="G372" s="4"/>
      <c r="H372" s="4"/>
      <c r="I372" s="5"/>
      <c r="J372" s="7" t="str">
        <f aca="false">IF(OR(I372="",C372=""),"",(I372-C372)/C372)</f>
        <v/>
      </c>
      <c r="K372" s="4" t="str">
        <f aca="false">IF(J372="","",IF(J372&gt;0,"涨",IF(J372&lt;0,"跌","平")))</f>
        <v/>
      </c>
      <c r="L372" s="4" t="str">
        <f aca="false">IF(J372="","",IF(ABS(J372)&lt;=0.003,"小",IF(ABS(J372)&lt;=0.01,"中","大")))</f>
        <v/>
      </c>
      <c r="M372" s="4" t="str">
        <f aca="false">IF(OR(D372="",K372=""),"",IF(D372=K372,"√","×"))</f>
        <v/>
      </c>
      <c r="N372" s="4" t="str">
        <f aca="false">IF(OR(E372="",L372=""),"",IF(E372=L372,"√","×"))</f>
        <v/>
      </c>
      <c r="O372" s="4"/>
      <c r="P372" s="4"/>
      <c r="Q372" s="4"/>
    </row>
    <row r="373" customFormat="false" ht="15" hidden="false" customHeight="true" outlineLevel="0" collapsed="false">
      <c r="A373" s="8"/>
      <c r="B373" s="8"/>
      <c r="C373" s="9"/>
      <c r="D373" s="8"/>
      <c r="E373" s="8"/>
      <c r="F373" s="8"/>
      <c r="G373" s="8"/>
      <c r="H373" s="8"/>
      <c r="I373" s="9"/>
      <c r="J373" s="11" t="str">
        <f aca="false">IF(OR(I373="",C373=""),"",(I373-C373)/C373)</f>
        <v/>
      </c>
      <c r="K373" s="8" t="str">
        <f aca="false">IF(J373="","",IF(J373&gt;0,"涨",IF(J373&lt;0,"跌","平")))</f>
        <v/>
      </c>
      <c r="L373" s="8" t="str">
        <f aca="false">IF(J373="","",IF(ABS(J373)&lt;=0.003,"小",IF(ABS(J373)&lt;=0.01,"中","大")))</f>
        <v/>
      </c>
      <c r="M373" s="8" t="str">
        <f aca="false">IF(OR(D373="",K373=""),"",IF(D373=K373,"√","×"))</f>
        <v/>
      </c>
      <c r="N373" s="8" t="str">
        <f aca="false">IF(OR(E373="",L373=""),"",IF(E373=L373,"√","×"))</f>
        <v/>
      </c>
      <c r="O373" s="8"/>
      <c r="P373" s="8"/>
      <c r="Q373" s="8"/>
    </row>
    <row r="374" customFormat="false" ht="15" hidden="false" customHeight="true" outlineLevel="0" collapsed="false">
      <c r="A374" s="4"/>
      <c r="B374" s="4"/>
      <c r="C374" s="5"/>
      <c r="D374" s="4"/>
      <c r="E374" s="4"/>
      <c r="F374" s="4"/>
      <c r="G374" s="4"/>
      <c r="H374" s="4"/>
      <c r="I374" s="5"/>
      <c r="J374" s="7" t="str">
        <f aca="false">IF(OR(I374="",C374=""),"",(I374-C374)/C374)</f>
        <v/>
      </c>
      <c r="K374" s="4" t="str">
        <f aca="false">IF(J374="","",IF(J374&gt;0,"涨",IF(J374&lt;0,"跌","平")))</f>
        <v/>
      </c>
      <c r="L374" s="4" t="str">
        <f aca="false">IF(J374="","",IF(ABS(J374)&lt;=0.003,"小",IF(ABS(J374)&lt;=0.01,"中","大")))</f>
        <v/>
      </c>
      <c r="M374" s="4" t="str">
        <f aca="false">IF(OR(D374="",K374=""),"",IF(D374=K374,"√","×"))</f>
        <v/>
      </c>
      <c r="N374" s="4" t="str">
        <f aca="false">IF(OR(E374="",L374=""),"",IF(E374=L374,"√","×"))</f>
        <v/>
      </c>
      <c r="O374" s="4"/>
      <c r="P374" s="4"/>
      <c r="Q374" s="4"/>
    </row>
    <row r="375" customFormat="false" ht="15" hidden="false" customHeight="true" outlineLevel="0" collapsed="false">
      <c r="A375" s="8"/>
      <c r="B375" s="8"/>
      <c r="C375" s="9"/>
      <c r="D375" s="8"/>
      <c r="E375" s="8"/>
      <c r="F375" s="8"/>
      <c r="G375" s="8"/>
      <c r="H375" s="8"/>
      <c r="I375" s="9"/>
      <c r="J375" s="11" t="str">
        <f aca="false">IF(OR(I375="",C375=""),"",(I375-C375)/C375)</f>
        <v/>
      </c>
      <c r="K375" s="8" t="str">
        <f aca="false">IF(J375="","",IF(J375&gt;0,"涨",IF(J375&lt;0,"跌","平")))</f>
        <v/>
      </c>
      <c r="L375" s="8" t="str">
        <f aca="false">IF(J375="","",IF(ABS(J375)&lt;=0.003,"小",IF(ABS(J375)&lt;=0.01,"中","大")))</f>
        <v/>
      </c>
      <c r="M375" s="8" t="str">
        <f aca="false">IF(OR(D375="",K375=""),"",IF(D375=K375,"√","×"))</f>
        <v/>
      </c>
      <c r="N375" s="8" t="str">
        <f aca="false">IF(OR(E375="",L375=""),"",IF(E375=L375,"√","×"))</f>
        <v/>
      </c>
      <c r="O375" s="8"/>
      <c r="P375" s="8"/>
      <c r="Q375" s="8"/>
    </row>
    <row r="376" customFormat="false" ht="15" hidden="false" customHeight="true" outlineLevel="0" collapsed="false">
      <c r="A376" s="4"/>
      <c r="B376" s="4"/>
      <c r="C376" s="5"/>
      <c r="D376" s="4"/>
      <c r="E376" s="4"/>
      <c r="F376" s="4"/>
      <c r="G376" s="4"/>
      <c r="H376" s="4"/>
      <c r="I376" s="5"/>
      <c r="J376" s="7" t="str">
        <f aca="false">IF(OR(I376="",C376=""),"",(I376-C376)/C376)</f>
        <v/>
      </c>
      <c r="K376" s="4" t="str">
        <f aca="false">IF(J376="","",IF(J376&gt;0,"涨",IF(J376&lt;0,"跌","平")))</f>
        <v/>
      </c>
      <c r="L376" s="4" t="str">
        <f aca="false">IF(J376="","",IF(ABS(J376)&lt;=0.003,"小",IF(ABS(J376)&lt;=0.01,"中","大")))</f>
        <v/>
      </c>
      <c r="M376" s="4" t="str">
        <f aca="false">IF(OR(D376="",K376=""),"",IF(D376=K376,"√","×"))</f>
        <v/>
      </c>
      <c r="N376" s="4" t="str">
        <f aca="false">IF(OR(E376="",L376=""),"",IF(E376=L376,"√","×"))</f>
        <v/>
      </c>
      <c r="O376" s="4"/>
      <c r="P376" s="4"/>
      <c r="Q376" s="4"/>
    </row>
    <row r="377" customFormat="false" ht="15" hidden="false" customHeight="true" outlineLevel="0" collapsed="false">
      <c r="A377" s="8"/>
      <c r="B377" s="8"/>
      <c r="C377" s="9"/>
      <c r="D377" s="8"/>
      <c r="E377" s="8"/>
      <c r="F377" s="8"/>
      <c r="G377" s="8"/>
      <c r="H377" s="8"/>
      <c r="I377" s="9"/>
      <c r="J377" s="11" t="str">
        <f aca="false">IF(OR(I377="",C377=""),"",(I377-C377)/C377)</f>
        <v/>
      </c>
      <c r="K377" s="8" t="str">
        <f aca="false">IF(J377="","",IF(J377&gt;0,"涨",IF(J377&lt;0,"跌","平")))</f>
        <v/>
      </c>
      <c r="L377" s="8" t="str">
        <f aca="false">IF(J377="","",IF(ABS(J377)&lt;=0.003,"小",IF(ABS(J377)&lt;=0.01,"中","大")))</f>
        <v/>
      </c>
      <c r="M377" s="8" t="str">
        <f aca="false">IF(OR(D377="",K377=""),"",IF(D377=K377,"√","×"))</f>
        <v/>
      </c>
      <c r="N377" s="8" t="str">
        <f aca="false">IF(OR(E377="",L377=""),"",IF(E377=L377,"√","×"))</f>
        <v/>
      </c>
      <c r="O377" s="8"/>
      <c r="P377" s="8"/>
      <c r="Q377" s="8"/>
    </row>
    <row r="378" customFormat="false" ht="15" hidden="false" customHeight="true" outlineLevel="0" collapsed="false">
      <c r="A378" s="4"/>
      <c r="B378" s="4"/>
      <c r="C378" s="5"/>
      <c r="D378" s="4"/>
      <c r="E378" s="4"/>
      <c r="F378" s="4"/>
      <c r="G378" s="4"/>
      <c r="H378" s="4"/>
      <c r="I378" s="5"/>
      <c r="J378" s="7" t="str">
        <f aca="false">IF(OR(I378="",C378=""),"",(I378-C378)/C378)</f>
        <v/>
      </c>
      <c r="K378" s="4" t="str">
        <f aca="false">IF(J378="","",IF(J378&gt;0,"涨",IF(J378&lt;0,"跌","平")))</f>
        <v/>
      </c>
      <c r="L378" s="4" t="str">
        <f aca="false">IF(J378="","",IF(ABS(J378)&lt;=0.003,"小",IF(ABS(J378)&lt;=0.01,"中","大")))</f>
        <v/>
      </c>
      <c r="M378" s="4" t="str">
        <f aca="false">IF(OR(D378="",K378=""),"",IF(D378=K378,"√","×"))</f>
        <v/>
      </c>
      <c r="N378" s="4" t="str">
        <f aca="false">IF(OR(E378="",L378=""),"",IF(E378=L378,"√","×"))</f>
        <v/>
      </c>
      <c r="O378" s="4"/>
      <c r="P378" s="4"/>
      <c r="Q378" s="4"/>
    </row>
    <row r="379" customFormat="false" ht="15" hidden="false" customHeight="true" outlineLevel="0" collapsed="false">
      <c r="A379" s="8"/>
      <c r="B379" s="8"/>
      <c r="C379" s="9"/>
      <c r="D379" s="8"/>
      <c r="E379" s="8"/>
      <c r="F379" s="8"/>
      <c r="G379" s="8"/>
      <c r="H379" s="8"/>
      <c r="I379" s="9"/>
      <c r="J379" s="11" t="str">
        <f aca="false">IF(OR(I379="",C379=""),"",(I379-C379)/C379)</f>
        <v/>
      </c>
      <c r="K379" s="8" t="str">
        <f aca="false">IF(J379="","",IF(J379&gt;0,"涨",IF(J379&lt;0,"跌","平")))</f>
        <v/>
      </c>
      <c r="L379" s="8" t="str">
        <f aca="false">IF(J379="","",IF(ABS(J379)&lt;=0.003,"小",IF(ABS(J379)&lt;=0.01,"中","大")))</f>
        <v/>
      </c>
      <c r="M379" s="8" t="str">
        <f aca="false">IF(OR(D379="",K379=""),"",IF(D379=K379,"√","×"))</f>
        <v/>
      </c>
      <c r="N379" s="8" t="str">
        <f aca="false">IF(OR(E379="",L379=""),"",IF(E379=L379,"√","×"))</f>
        <v/>
      </c>
      <c r="O379" s="8"/>
      <c r="P379" s="8"/>
      <c r="Q379" s="8"/>
    </row>
    <row r="380" customFormat="false" ht="15" hidden="false" customHeight="true" outlineLevel="0" collapsed="false">
      <c r="A380" s="4"/>
      <c r="B380" s="4"/>
      <c r="C380" s="5"/>
      <c r="D380" s="4"/>
      <c r="E380" s="4"/>
      <c r="F380" s="4"/>
      <c r="G380" s="4"/>
      <c r="H380" s="4"/>
      <c r="I380" s="5"/>
      <c r="J380" s="7" t="str">
        <f aca="false">IF(OR(I380="",C380=""),"",(I380-C380)/C380)</f>
        <v/>
      </c>
      <c r="K380" s="4" t="str">
        <f aca="false">IF(J380="","",IF(J380&gt;0,"涨",IF(J380&lt;0,"跌","平")))</f>
        <v/>
      </c>
      <c r="L380" s="4" t="str">
        <f aca="false">IF(J380="","",IF(ABS(J380)&lt;=0.003,"小",IF(ABS(J380)&lt;=0.01,"中","大")))</f>
        <v/>
      </c>
      <c r="M380" s="4" t="str">
        <f aca="false">IF(OR(D380="",K380=""),"",IF(D380=K380,"√","×"))</f>
        <v/>
      </c>
      <c r="N380" s="4" t="str">
        <f aca="false">IF(OR(E380="",L380=""),"",IF(E380=L380,"√","×"))</f>
        <v/>
      </c>
      <c r="O380" s="4"/>
      <c r="P380" s="4"/>
      <c r="Q380" s="4"/>
    </row>
    <row r="381" customFormat="false" ht="15" hidden="false" customHeight="true" outlineLevel="0" collapsed="false">
      <c r="A381" s="8"/>
      <c r="B381" s="8"/>
      <c r="C381" s="9"/>
      <c r="D381" s="8"/>
      <c r="E381" s="8"/>
      <c r="F381" s="8"/>
      <c r="G381" s="8"/>
      <c r="H381" s="8"/>
      <c r="I381" s="9"/>
      <c r="J381" s="11" t="str">
        <f aca="false">IF(OR(I381="",C381=""),"",(I381-C381)/C381)</f>
        <v/>
      </c>
      <c r="K381" s="8" t="str">
        <f aca="false">IF(J381="","",IF(J381&gt;0,"涨",IF(J381&lt;0,"跌","平")))</f>
        <v/>
      </c>
      <c r="L381" s="8" t="str">
        <f aca="false">IF(J381="","",IF(ABS(J381)&lt;=0.003,"小",IF(ABS(J381)&lt;=0.01,"中","大")))</f>
        <v/>
      </c>
      <c r="M381" s="8" t="str">
        <f aca="false">IF(OR(D381="",K381=""),"",IF(D381=K381,"√","×"))</f>
        <v/>
      </c>
      <c r="N381" s="8" t="str">
        <f aca="false">IF(OR(E381="",L381=""),"",IF(E381=L381,"√","×"))</f>
        <v/>
      </c>
      <c r="O381" s="8"/>
      <c r="P381" s="8"/>
      <c r="Q381" s="8"/>
    </row>
    <row r="382" customFormat="false" ht="15" hidden="false" customHeight="true" outlineLevel="0" collapsed="false">
      <c r="A382" s="4"/>
      <c r="B382" s="4"/>
      <c r="C382" s="5"/>
      <c r="D382" s="4"/>
      <c r="E382" s="4"/>
      <c r="F382" s="4"/>
      <c r="G382" s="4"/>
      <c r="H382" s="4"/>
      <c r="I382" s="5"/>
      <c r="J382" s="7" t="str">
        <f aca="false">IF(OR(I382="",C382=""),"",(I382-C382)/C382)</f>
        <v/>
      </c>
      <c r="K382" s="4" t="str">
        <f aca="false">IF(J382="","",IF(J382&gt;0,"涨",IF(J382&lt;0,"跌","平")))</f>
        <v/>
      </c>
      <c r="L382" s="4" t="str">
        <f aca="false">IF(J382="","",IF(ABS(J382)&lt;=0.003,"小",IF(ABS(J382)&lt;=0.01,"中","大")))</f>
        <v/>
      </c>
      <c r="M382" s="4" t="str">
        <f aca="false">IF(OR(D382="",K382=""),"",IF(D382=K382,"√","×"))</f>
        <v/>
      </c>
      <c r="N382" s="4" t="str">
        <f aca="false">IF(OR(E382="",L382=""),"",IF(E382=L382,"√","×"))</f>
        <v/>
      </c>
      <c r="O382" s="4"/>
      <c r="P382" s="4"/>
      <c r="Q382" s="4"/>
    </row>
    <row r="383" customFormat="false" ht="15" hidden="false" customHeight="true" outlineLevel="0" collapsed="false">
      <c r="A383" s="8"/>
      <c r="B383" s="8"/>
      <c r="C383" s="9"/>
      <c r="D383" s="8"/>
      <c r="E383" s="8"/>
      <c r="F383" s="8"/>
      <c r="G383" s="8"/>
      <c r="H383" s="8"/>
      <c r="I383" s="9"/>
      <c r="J383" s="11" t="str">
        <f aca="false">IF(OR(I383="",C383=""),"",(I383-C383)/C383)</f>
        <v/>
      </c>
      <c r="K383" s="8" t="str">
        <f aca="false">IF(J383="","",IF(J383&gt;0,"涨",IF(J383&lt;0,"跌","平")))</f>
        <v/>
      </c>
      <c r="L383" s="8" t="str">
        <f aca="false">IF(J383="","",IF(ABS(J383)&lt;=0.003,"小",IF(ABS(J383)&lt;=0.01,"中","大")))</f>
        <v/>
      </c>
      <c r="M383" s="8" t="str">
        <f aca="false">IF(OR(D383="",K383=""),"",IF(D383=K383,"√","×"))</f>
        <v/>
      </c>
      <c r="N383" s="8" t="str">
        <f aca="false">IF(OR(E383="",L383=""),"",IF(E383=L383,"√","×"))</f>
        <v/>
      </c>
      <c r="O383" s="8"/>
      <c r="P383" s="8"/>
      <c r="Q383" s="8"/>
    </row>
    <row r="384" customFormat="false" ht="15" hidden="false" customHeight="true" outlineLevel="0" collapsed="false">
      <c r="A384" s="4"/>
      <c r="B384" s="4"/>
      <c r="C384" s="5"/>
      <c r="D384" s="4"/>
      <c r="E384" s="4"/>
      <c r="F384" s="4"/>
      <c r="G384" s="4"/>
      <c r="H384" s="4"/>
      <c r="I384" s="5"/>
      <c r="J384" s="7" t="str">
        <f aca="false">IF(OR(I384="",C384=""),"",(I384-C384)/C384)</f>
        <v/>
      </c>
      <c r="K384" s="4" t="str">
        <f aca="false">IF(J384="","",IF(J384&gt;0,"涨",IF(J384&lt;0,"跌","平")))</f>
        <v/>
      </c>
      <c r="L384" s="4" t="str">
        <f aca="false">IF(J384="","",IF(ABS(J384)&lt;=0.003,"小",IF(ABS(J384)&lt;=0.01,"中","大")))</f>
        <v/>
      </c>
      <c r="M384" s="4" t="str">
        <f aca="false">IF(OR(D384="",K384=""),"",IF(D384=K384,"√","×"))</f>
        <v/>
      </c>
      <c r="N384" s="4" t="str">
        <f aca="false">IF(OR(E384="",L384=""),"",IF(E384=L384,"√","×"))</f>
        <v/>
      </c>
      <c r="O384" s="4"/>
      <c r="P384" s="4"/>
      <c r="Q384" s="4"/>
    </row>
    <row r="385" customFormat="false" ht="15" hidden="false" customHeight="true" outlineLevel="0" collapsed="false">
      <c r="A385" s="8"/>
      <c r="B385" s="8"/>
      <c r="C385" s="9"/>
      <c r="D385" s="8"/>
      <c r="E385" s="8"/>
      <c r="F385" s="8"/>
      <c r="G385" s="8"/>
      <c r="H385" s="8"/>
      <c r="I385" s="9"/>
      <c r="J385" s="11" t="str">
        <f aca="false">IF(OR(I385="",C385=""),"",(I385-C385)/C385)</f>
        <v/>
      </c>
      <c r="K385" s="8" t="str">
        <f aca="false">IF(J385="","",IF(J385&gt;0,"涨",IF(J385&lt;0,"跌","平")))</f>
        <v/>
      </c>
      <c r="L385" s="8" t="str">
        <f aca="false">IF(J385="","",IF(ABS(J385)&lt;=0.003,"小",IF(ABS(J385)&lt;=0.01,"中","大")))</f>
        <v/>
      </c>
      <c r="M385" s="8" t="str">
        <f aca="false">IF(OR(D385="",K385=""),"",IF(D385=K385,"√","×"))</f>
        <v/>
      </c>
      <c r="N385" s="8" t="str">
        <f aca="false">IF(OR(E385="",L385=""),"",IF(E385=L385,"√","×"))</f>
        <v/>
      </c>
      <c r="O385" s="8"/>
      <c r="P385" s="8"/>
      <c r="Q385" s="8"/>
    </row>
    <row r="386" customFormat="false" ht="15" hidden="false" customHeight="true" outlineLevel="0" collapsed="false">
      <c r="A386" s="4"/>
      <c r="B386" s="4"/>
      <c r="C386" s="5"/>
      <c r="D386" s="4"/>
      <c r="E386" s="4"/>
      <c r="F386" s="4"/>
      <c r="G386" s="4"/>
      <c r="H386" s="4"/>
      <c r="I386" s="5"/>
      <c r="J386" s="7" t="str">
        <f aca="false">IF(OR(I386="",C386=""),"",(I386-C386)/C386)</f>
        <v/>
      </c>
      <c r="K386" s="4" t="str">
        <f aca="false">IF(J386="","",IF(J386&gt;0,"涨",IF(J386&lt;0,"跌","平")))</f>
        <v/>
      </c>
      <c r="L386" s="4" t="str">
        <f aca="false">IF(J386="","",IF(ABS(J386)&lt;=0.003,"小",IF(ABS(J386)&lt;=0.01,"中","大")))</f>
        <v/>
      </c>
      <c r="M386" s="4" t="str">
        <f aca="false">IF(OR(D386="",K386=""),"",IF(D386=K386,"√","×"))</f>
        <v/>
      </c>
      <c r="N386" s="4" t="str">
        <f aca="false">IF(OR(E386="",L386=""),"",IF(E386=L386,"√","×"))</f>
        <v/>
      </c>
      <c r="O386" s="4"/>
      <c r="P386" s="4"/>
      <c r="Q386" s="4"/>
    </row>
    <row r="387" customFormat="false" ht="15" hidden="false" customHeight="true" outlineLevel="0" collapsed="false">
      <c r="A387" s="8"/>
      <c r="B387" s="8"/>
      <c r="C387" s="9"/>
      <c r="D387" s="8"/>
      <c r="E387" s="8"/>
      <c r="F387" s="8"/>
      <c r="G387" s="8"/>
      <c r="H387" s="8"/>
      <c r="I387" s="9"/>
      <c r="J387" s="11" t="str">
        <f aca="false">IF(OR(I387="",C387=""),"",(I387-C387)/C387)</f>
        <v/>
      </c>
      <c r="K387" s="8" t="str">
        <f aca="false">IF(J387="","",IF(J387&gt;0,"涨",IF(J387&lt;0,"跌","平")))</f>
        <v/>
      </c>
      <c r="L387" s="8" t="str">
        <f aca="false">IF(J387="","",IF(ABS(J387)&lt;=0.003,"小",IF(ABS(J387)&lt;=0.01,"中","大")))</f>
        <v/>
      </c>
      <c r="M387" s="8" t="str">
        <f aca="false">IF(OR(D387="",K387=""),"",IF(D387=K387,"√","×"))</f>
        <v/>
      </c>
      <c r="N387" s="8" t="str">
        <f aca="false">IF(OR(E387="",L387=""),"",IF(E387=L387,"√","×"))</f>
        <v/>
      </c>
      <c r="O387" s="8"/>
      <c r="P387" s="8"/>
      <c r="Q387" s="8"/>
    </row>
    <row r="388" customFormat="false" ht="15" hidden="false" customHeight="true" outlineLevel="0" collapsed="false">
      <c r="A388" s="4"/>
      <c r="B388" s="4"/>
      <c r="C388" s="5"/>
      <c r="D388" s="4"/>
      <c r="E388" s="4"/>
      <c r="F388" s="4"/>
      <c r="G388" s="4"/>
      <c r="H388" s="4"/>
      <c r="I388" s="5"/>
      <c r="J388" s="7" t="str">
        <f aca="false">IF(OR(I388="",C388=""),"",(I388-C388)/C388)</f>
        <v/>
      </c>
      <c r="K388" s="4" t="str">
        <f aca="false">IF(J388="","",IF(J388&gt;0,"涨",IF(J388&lt;0,"跌","平")))</f>
        <v/>
      </c>
      <c r="L388" s="4" t="str">
        <f aca="false">IF(J388="","",IF(ABS(J388)&lt;=0.003,"小",IF(ABS(J388)&lt;=0.01,"中","大")))</f>
        <v/>
      </c>
      <c r="M388" s="4" t="str">
        <f aca="false">IF(OR(D388="",K388=""),"",IF(D388=K388,"√","×"))</f>
        <v/>
      </c>
      <c r="N388" s="4" t="str">
        <f aca="false">IF(OR(E388="",L388=""),"",IF(E388=L388,"√","×"))</f>
        <v/>
      </c>
      <c r="O388" s="4"/>
      <c r="P388" s="4"/>
      <c r="Q388" s="4"/>
    </row>
    <row r="389" customFormat="false" ht="15" hidden="false" customHeight="true" outlineLevel="0" collapsed="false">
      <c r="A389" s="8"/>
      <c r="B389" s="8"/>
      <c r="C389" s="9"/>
      <c r="D389" s="8"/>
      <c r="E389" s="8"/>
      <c r="F389" s="8"/>
      <c r="G389" s="8"/>
      <c r="H389" s="8"/>
      <c r="I389" s="9"/>
      <c r="J389" s="11" t="str">
        <f aca="false">IF(OR(I389="",C389=""),"",(I389-C389)/C389)</f>
        <v/>
      </c>
      <c r="K389" s="8" t="str">
        <f aca="false">IF(J389="","",IF(J389&gt;0,"涨",IF(J389&lt;0,"跌","平")))</f>
        <v/>
      </c>
      <c r="L389" s="8" t="str">
        <f aca="false">IF(J389="","",IF(ABS(J389)&lt;=0.003,"小",IF(ABS(J389)&lt;=0.01,"中","大")))</f>
        <v/>
      </c>
      <c r="M389" s="8" t="str">
        <f aca="false">IF(OR(D389="",K389=""),"",IF(D389=K389,"√","×"))</f>
        <v/>
      </c>
      <c r="N389" s="8" t="str">
        <f aca="false">IF(OR(E389="",L389=""),"",IF(E389=L389,"√","×"))</f>
        <v/>
      </c>
      <c r="O389" s="8"/>
      <c r="P389" s="8"/>
      <c r="Q389" s="8"/>
    </row>
    <row r="390" customFormat="false" ht="15" hidden="false" customHeight="true" outlineLevel="0" collapsed="false">
      <c r="A390" s="4"/>
      <c r="B390" s="4"/>
      <c r="C390" s="5"/>
      <c r="D390" s="4"/>
      <c r="E390" s="4"/>
      <c r="F390" s="4"/>
      <c r="G390" s="4"/>
      <c r="H390" s="4"/>
      <c r="I390" s="5"/>
      <c r="J390" s="7" t="str">
        <f aca="false">IF(OR(I390="",C390=""),"",(I390-C390)/C390)</f>
        <v/>
      </c>
      <c r="K390" s="4" t="str">
        <f aca="false">IF(J390="","",IF(J390&gt;0,"涨",IF(J390&lt;0,"跌","平")))</f>
        <v/>
      </c>
      <c r="L390" s="4" t="str">
        <f aca="false">IF(J390="","",IF(ABS(J390)&lt;=0.003,"小",IF(ABS(J390)&lt;=0.01,"中","大")))</f>
        <v/>
      </c>
      <c r="M390" s="4" t="str">
        <f aca="false">IF(OR(D390="",K390=""),"",IF(D390=K390,"√","×"))</f>
        <v/>
      </c>
      <c r="N390" s="4" t="str">
        <f aca="false">IF(OR(E390="",L390=""),"",IF(E390=L390,"√","×"))</f>
        <v/>
      </c>
      <c r="O390" s="4"/>
      <c r="P390" s="4"/>
      <c r="Q390" s="4"/>
    </row>
    <row r="391" customFormat="false" ht="15" hidden="false" customHeight="true" outlineLevel="0" collapsed="false">
      <c r="A391" s="8"/>
      <c r="B391" s="8"/>
      <c r="C391" s="9"/>
      <c r="D391" s="8"/>
      <c r="E391" s="8"/>
      <c r="F391" s="8"/>
      <c r="G391" s="8"/>
      <c r="H391" s="8"/>
      <c r="I391" s="9"/>
      <c r="J391" s="11" t="str">
        <f aca="false">IF(OR(I391="",C391=""),"",(I391-C391)/C391)</f>
        <v/>
      </c>
      <c r="K391" s="8" t="str">
        <f aca="false">IF(J391="","",IF(J391&gt;0,"涨",IF(J391&lt;0,"跌","平")))</f>
        <v/>
      </c>
      <c r="L391" s="8" t="str">
        <f aca="false">IF(J391="","",IF(ABS(J391)&lt;=0.003,"小",IF(ABS(J391)&lt;=0.01,"中","大")))</f>
        <v/>
      </c>
      <c r="M391" s="8" t="str">
        <f aca="false">IF(OR(D391="",K391=""),"",IF(D391=K391,"√","×"))</f>
        <v/>
      </c>
      <c r="N391" s="8" t="str">
        <f aca="false">IF(OR(E391="",L391=""),"",IF(E391=L391,"√","×"))</f>
        <v/>
      </c>
      <c r="O391" s="8"/>
      <c r="P391" s="8"/>
      <c r="Q391" s="8"/>
    </row>
    <row r="392" customFormat="false" ht="15" hidden="false" customHeight="true" outlineLevel="0" collapsed="false">
      <c r="A392" s="4"/>
      <c r="B392" s="4"/>
      <c r="C392" s="5"/>
      <c r="D392" s="4"/>
      <c r="E392" s="4"/>
      <c r="F392" s="4"/>
      <c r="G392" s="4"/>
      <c r="H392" s="4"/>
      <c r="I392" s="5"/>
      <c r="J392" s="7" t="str">
        <f aca="false">IF(OR(I392="",C392=""),"",(I392-C392)/C392)</f>
        <v/>
      </c>
      <c r="K392" s="4" t="str">
        <f aca="false">IF(J392="","",IF(J392&gt;0,"涨",IF(J392&lt;0,"跌","平")))</f>
        <v/>
      </c>
      <c r="L392" s="4" t="str">
        <f aca="false">IF(J392="","",IF(ABS(J392)&lt;=0.003,"小",IF(ABS(J392)&lt;=0.01,"中","大")))</f>
        <v/>
      </c>
      <c r="M392" s="4" t="str">
        <f aca="false">IF(OR(D392="",K392=""),"",IF(D392=K392,"√","×"))</f>
        <v/>
      </c>
      <c r="N392" s="4" t="str">
        <f aca="false">IF(OR(E392="",L392=""),"",IF(E392=L392,"√","×"))</f>
        <v/>
      </c>
      <c r="O392" s="4"/>
      <c r="P392" s="4"/>
      <c r="Q392" s="4"/>
    </row>
    <row r="393" customFormat="false" ht="15" hidden="false" customHeight="true" outlineLevel="0" collapsed="false">
      <c r="A393" s="8"/>
      <c r="B393" s="8"/>
      <c r="C393" s="9"/>
      <c r="D393" s="8"/>
      <c r="E393" s="8"/>
      <c r="F393" s="8"/>
      <c r="G393" s="8"/>
      <c r="H393" s="8"/>
      <c r="I393" s="9"/>
      <c r="J393" s="11" t="str">
        <f aca="false">IF(OR(I393="",C393=""),"",(I393-C393)/C393)</f>
        <v/>
      </c>
      <c r="K393" s="8" t="str">
        <f aca="false">IF(J393="","",IF(J393&gt;0,"涨",IF(J393&lt;0,"跌","平")))</f>
        <v/>
      </c>
      <c r="L393" s="8" t="str">
        <f aca="false">IF(J393="","",IF(ABS(J393)&lt;=0.003,"小",IF(ABS(J393)&lt;=0.01,"中","大")))</f>
        <v/>
      </c>
      <c r="M393" s="8" t="str">
        <f aca="false">IF(OR(D393="",K393=""),"",IF(D393=K393,"√","×"))</f>
        <v/>
      </c>
      <c r="N393" s="8" t="str">
        <f aca="false">IF(OR(E393="",L393=""),"",IF(E393=L393,"√","×"))</f>
        <v/>
      </c>
      <c r="O393" s="8"/>
      <c r="P393" s="8"/>
      <c r="Q393" s="8"/>
    </row>
    <row r="394" customFormat="false" ht="15" hidden="false" customHeight="true" outlineLevel="0" collapsed="false">
      <c r="A394" s="4"/>
      <c r="B394" s="4"/>
      <c r="C394" s="5"/>
      <c r="D394" s="4"/>
      <c r="E394" s="4"/>
      <c r="F394" s="4"/>
      <c r="G394" s="4"/>
      <c r="H394" s="4"/>
      <c r="I394" s="5"/>
      <c r="J394" s="7" t="str">
        <f aca="false">IF(OR(I394="",C394=""),"",(I394-C394)/C394)</f>
        <v/>
      </c>
      <c r="K394" s="4" t="str">
        <f aca="false">IF(J394="","",IF(J394&gt;0,"涨",IF(J394&lt;0,"跌","平")))</f>
        <v/>
      </c>
      <c r="L394" s="4" t="str">
        <f aca="false">IF(J394="","",IF(ABS(J394)&lt;=0.003,"小",IF(ABS(J394)&lt;=0.01,"中","大")))</f>
        <v/>
      </c>
      <c r="M394" s="4" t="str">
        <f aca="false">IF(OR(D394="",K394=""),"",IF(D394=K394,"√","×"))</f>
        <v/>
      </c>
      <c r="N394" s="4" t="str">
        <f aca="false">IF(OR(E394="",L394=""),"",IF(E394=L394,"√","×"))</f>
        <v/>
      </c>
      <c r="O394" s="4"/>
      <c r="P394" s="4"/>
      <c r="Q394" s="4"/>
    </row>
    <row r="395" customFormat="false" ht="15" hidden="false" customHeight="true" outlineLevel="0" collapsed="false">
      <c r="A395" s="8"/>
      <c r="B395" s="8"/>
      <c r="C395" s="9"/>
      <c r="D395" s="8"/>
      <c r="E395" s="8"/>
      <c r="F395" s="8"/>
      <c r="G395" s="8"/>
      <c r="H395" s="8"/>
      <c r="I395" s="9"/>
      <c r="J395" s="11" t="str">
        <f aca="false">IF(OR(I395="",C395=""),"",(I395-C395)/C395)</f>
        <v/>
      </c>
      <c r="K395" s="8" t="str">
        <f aca="false">IF(J395="","",IF(J395&gt;0,"涨",IF(J395&lt;0,"跌","平")))</f>
        <v/>
      </c>
      <c r="L395" s="8" t="str">
        <f aca="false">IF(J395="","",IF(ABS(J395)&lt;=0.003,"小",IF(ABS(J395)&lt;=0.01,"中","大")))</f>
        <v/>
      </c>
      <c r="M395" s="8" t="str">
        <f aca="false">IF(OR(D395="",K395=""),"",IF(D395=K395,"√","×"))</f>
        <v/>
      </c>
      <c r="N395" s="8" t="str">
        <f aca="false">IF(OR(E395="",L395=""),"",IF(E395=L395,"√","×"))</f>
        <v/>
      </c>
      <c r="O395" s="8"/>
      <c r="P395" s="8"/>
      <c r="Q395" s="8"/>
    </row>
    <row r="396" customFormat="false" ht="15" hidden="false" customHeight="true" outlineLevel="0" collapsed="false">
      <c r="A396" s="4"/>
      <c r="B396" s="4"/>
      <c r="C396" s="5"/>
      <c r="D396" s="4"/>
      <c r="E396" s="4"/>
      <c r="F396" s="4"/>
      <c r="G396" s="4"/>
      <c r="H396" s="4"/>
      <c r="I396" s="5"/>
      <c r="J396" s="7" t="str">
        <f aca="false">IF(OR(I396="",C396=""),"",(I396-C396)/C396)</f>
        <v/>
      </c>
      <c r="K396" s="4" t="str">
        <f aca="false">IF(J396="","",IF(J396&gt;0,"涨",IF(J396&lt;0,"跌","平")))</f>
        <v/>
      </c>
      <c r="L396" s="4" t="str">
        <f aca="false">IF(J396="","",IF(ABS(J396)&lt;=0.003,"小",IF(ABS(J396)&lt;=0.01,"中","大")))</f>
        <v/>
      </c>
      <c r="M396" s="4" t="str">
        <f aca="false">IF(OR(D396="",K396=""),"",IF(D396=K396,"√","×"))</f>
        <v/>
      </c>
      <c r="N396" s="4" t="str">
        <f aca="false">IF(OR(E396="",L396=""),"",IF(E396=L396,"√","×"))</f>
        <v/>
      </c>
      <c r="O396" s="4"/>
      <c r="P396" s="4"/>
      <c r="Q396" s="4"/>
    </row>
    <row r="397" customFormat="false" ht="15" hidden="false" customHeight="true" outlineLevel="0" collapsed="false">
      <c r="A397" s="8"/>
      <c r="B397" s="8"/>
      <c r="C397" s="9"/>
      <c r="D397" s="8"/>
      <c r="E397" s="8"/>
      <c r="F397" s="8"/>
      <c r="G397" s="8"/>
      <c r="H397" s="8"/>
      <c r="I397" s="9"/>
      <c r="J397" s="11" t="str">
        <f aca="false">IF(OR(I397="",C397=""),"",(I397-C397)/C397)</f>
        <v/>
      </c>
      <c r="K397" s="8" t="str">
        <f aca="false">IF(J397="","",IF(J397&gt;0,"涨",IF(J397&lt;0,"跌","平")))</f>
        <v/>
      </c>
      <c r="L397" s="8" t="str">
        <f aca="false">IF(J397="","",IF(ABS(J397)&lt;=0.003,"小",IF(ABS(J397)&lt;=0.01,"中","大")))</f>
        <v/>
      </c>
      <c r="M397" s="8" t="str">
        <f aca="false">IF(OR(D397="",K397=""),"",IF(D397=K397,"√","×"))</f>
        <v/>
      </c>
      <c r="N397" s="8" t="str">
        <f aca="false">IF(OR(E397="",L397=""),"",IF(E397=L397,"√","×"))</f>
        <v/>
      </c>
      <c r="O397" s="8"/>
      <c r="P397" s="8"/>
      <c r="Q397" s="8"/>
    </row>
    <row r="398" customFormat="false" ht="15" hidden="false" customHeight="true" outlineLevel="0" collapsed="false">
      <c r="A398" s="4"/>
      <c r="B398" s="4"/>
      <c r="C398" s="5"/>
      <c r="D398" s="4"/>
      <c r="E398" s="4"/>
      <c r="F398" s="4"/>
      <c r="G398" s="4"/>
      <c r="H398" s="4"/>
      <c r="I398" s="5"/>
      <c r="J398" s="7" t="str">
        <f aca="false">IF(OR(I398="",C398=""),"",(I398-C398)/C398)</f>
        <v/>
      </c>
      <c r="K398" s="4" t="str">
        <f aca="false">IF(J398="","",IF(J398&gt;0,"涨",IF(J398&lt;0,"跌","平")))</f>
        <v/>
      </c>
      <c r="L398" s="4" t="str">
        <f aca="false">IF(J398="","",IF(ABS(J398)&lt;=0.003,"小",IF(ABS(J398)&lt;=0.01,"中","大")))</f>
        <v/>
      </c>
      <c r="M398" s="4" t="str">
        <f aca="false">IF(OR(D398="",K398=""),"",IF(D398=K398,"√","×"))</f>
        <v/>
      </c>
      <c r="N398" s="4" t="str">
        <f aca="false">IF(OR(E398="",L398=""),"",IF(E398=L398,"√","×"))</f>
        <v/>
      </c>
      <c r="O398" s="4"/>
      <c r="P398" s="4"/>
      <c r="Q398" s="4"/>
    </row>
    <row r="399" customFormat="false" ht="15" hidden="false" customHeight="true" outlineLevel="0" collapsed="false">
      <c r="A399" s="8"/>
      <c r="B399" s="8"/>
      <c r="C399" s="9"/>
      <c r="D399" s="8"/>
      <c r="E399" s="8"/>
      <c r="F399" s="8"/>
      <c r="G399" s="8"/>
      <c r="H399" s="8"/>
      <c r="I399" s="9"/>
      <c r="J399" s="11" t="str">
        <f aca="false">IF(OR(I399="",C399=""),"",(I399-C399)/C399)</f>
        <v/>
      </c>
      <c r="K399" s="8" t="str">
        <f aca="false">IF(J399="","",IF(J399&gt;0,"涨",IF(J399&lt;0,"跌","平")))</f>
        <v/>
      </c>
      <c r="L399" s="8" t="str">
        <f aca="false">IF(J399="","",IF(ABS(J399)&lt;=0.003,"小",IF(ABS(J399)&lt;=0.01,"中","大")))</f>
        <v/>
      </c>
      <c r="M399" s="8" t="str">
        <f aca="false">IF(OR(D399="",K399=""),"",IF(D399=K399,"√","×"))</f>
        <v/>
      </c>
      <c r="N399" s="8" t="str">
        <f aca="false">IF(OR(E399="",L399=""),"",IF(E399=L399,"√","×"))</f>
        <v/>
      </c>
      <c r="O399" s="8"/>
      <c r="P399" s="8"/>
      <c r="Q399" s="8"/>
    </row>
    <row r="400" customFormat="false" ht="15" hidden="false" customHeight="true" outlineLevel="0" collapsed="false">
      <c r="A400" s="4"/>
      <c r="B400" s="4"/>
      <c r="C400" s="5"/>
      <c r="D400" s="4"/>
      <c r="E400" s="4"/>
      <c r="F400" s="4"/>
      <c r="G400" s="4"/>
      <c r="H400" s="4"/>
      <c r="I400" s="5"/>
      <c r="J400" s="7" t="str">
        <f aca="false">IF(OR(I400="",C400=""),"",(I400-C400)/C400)</f>
        <v/>
      </c>
      <c r="K400" s="4" t="str">
        <f aca="false">IF(J400="","",IF(J400&gt;0,"涨",IF(J400&lt;0,"跌","平")))</f>
        <v/>
      </c>
      <c r="L400" s="4" t="str">
        <f aca="false">IF(J400="","",IF(ABS(J400)&lt;=0.003,"小",IF(ABS(J400)&lt;=0.01,"中","大")))</f>
        <v/>
      </c>
      <c r="M400" s="4" t="str">
        <f aca="false">IF(OR(D400="",K400=""),"",IF(D400=K400,"√","×"))</f>
        <v/>
      </c>
      <c r="N400" s="4" t="str">
        <f aca="false">IF(OR(E400="",L400=""),"",IF(E400=L400,"√","×"))</f>
        <v/>
      </c>
      <c r="O400" s="4"/>
      <c r="P400" s="4"/>
      <c r="Q400" s="4"/>
    </row>
    <row r="401" customFormat="false" ht="15" hidden="false" customHeight="true" outlineLevel="0" collapsed="false">
      <c r="A401" s="8"/>
      <c r="B401" s="8"/>
      <c r="C401" s="9"/>
      <c r="D401" s="8"/>
      <c r="E401" s="8"/>
      <c r="F401" s="8"/>
      <c r="G401" s="8"/>
      <c r="H401" s="8"/>
      <c r="I401" s="9"/>
      <c r="J401" s="11" t="str">
        <f aca="false">IF(OR(I401="",C401=""),"",(I401-C401)/C401)</f>
        <v/>
      </c>
      <c r="K401" s="8" t="str">
        <f aca="false">IF(J401="","",IF(J401&gt;0,"涨",IF(J401&lt;0,"跌","平")))</f>
        <v/>
      </c>
      <c r="L401" s="8" t="str">
        <f aca="false">IF(J401="","",IF(ABS(J401)&lt;=0.003,"小",IF(ABS(J401)&lt;=0.01,"中","大")))</f>
        <v/>
      </c>
      <c r="M401" s="8" t="str">
        <f aca="false">IF(OR(D401="",K401=""),"",IF(D401=K401,"√","×"))</f>
        <v/>
      </c>
      <c r="N401" s="8" t="str">
        <f aca="false">IF(OR(E401="",L401=""),"",IF(E401=L401,"√","×"))</f>
        <v/>
      </c>
      <c r="O401" s="8"/>
      <c r="P401" s="8"/>
      <c r="Q401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</cols>
  <sheetData>
    <row r="1" customFormat="false" ht="15" hidden="false" customHeight="true" outlineLevel="0" collapsed="false">
      <c r="A1" s="12" t="s">
        <v>31</v>
      </c>
    </row>
    <row r="3" customFormat="false" ht="15" hidden="false" customHeight="true" outlineLevel="0" collapsed="false">
      <c r="A3" s="13" t="s">
        <v>32</v>
      </c>
      <c r="B3" s="14" t="n">
        <f aca="false">COUNTIF(预测日志!M2:M1000,"√")+COUNTIF(预测日志!M2:M1000,"×")</f>
        <v>1</v>
      </c>
    </row>
    <row r="4" customFormat="false" ht="15" hidden="false" customHeight="true" outlineLevel="0" collapsed="false">
      <c r="A4" s="13" t="s">
        <v>33</v>
      </c>
      <c r="B4" s="14" t="n">
        <f aca="false">COUNTA(预测日志!A2:A1000)</f>
        <v>2</v>
      </c>
    </row>
    <row r="5" customFormat="false" ht="15" hidden="false" customHeight="true" outlineLevel="0" collapsed="false">
      <c r="A5" s="15" t="s">
        <v>34</v>
      </c>
      <c r="B5" s="16" t="n">
        <f aca="false">IFERROR(COUNTIF(预测日志!M2:M1000,"√")/B3,"-")</f>
        <v>1</v>
      </c>
    </row>
    <row r="6" customFormat="false" ht="15" hidden="false" customHeight="true" outlineLevel="0" collapsed="false">
      <c r="A6" s="13" t="s">
        <v>35</v>
      </c>
      <c r="B6" s="17" t="n">
        <f aca="false">IFERROR(COUNTIF(预测日志!N2:N1000,"√")/(COUNTIF(预测日志!N2:N1000,"√")+COUNTIF(预测日志!N2:N1000,"×")),"-")</f>
        <v>1</v>
      </c>
    </row>
    <row r="7" customFormat="false" ht="15" hidden="false" customHeight="true" outlineLevel="0" collapsed="false">
      <c r="A7" s="15" t="s">
        <v>36</v>
      </c>
      <c r="B7" s="16" t="n">
        <f aca="true">IFERROR(COUNTIF(OFFSET(预测日志!$M$1,B3-MIN(30,B3)+1,0,MIN(30,B3),1),"√")/MIN(30,B3),"-")</f>
        <v>1</v>
      </c>
    </row>
    <row r="8" customFormat="false" ht="15" hidden="false" customHeight="true" outlineLevel="0" collapsed="false">
      <c r="A8" s="13" t="s">
        <v>37</v>
      </c>
      <c r="B8" s="17" t="n">
        <f aca="true">IFERROR(COUNTIF(OFFSET(预测日志!$N$1,B3-MIN(30,B3)+1,0,MIN(30,B3),1),"√")/MIN(30,B3),"-")</f>
        <v>1</v>
      </c>
    </row>
    <row r="9" customFormat="false" ht="15" hidden="false" customHeight="true" outlineLevel="0" collapsed="false">
      <c r="A9" s="13" t="s">
        <v>38</v>
      </c>
      <c r="B9" s="14" t="n">
        <f aca="false">IFERROR(COUNTIFS(预测日志!O2:O1000,"趋势*",预测日志!M2:M1000,"√")/(COUNTIFS(预测日志!O2:O1000,"趋势*",预测日志!M2:M1000,"√")+COUNTIFS(预测日志!O2:O1000,"趋势*",预测日志!M2:M1000,"×")),"-")</f>
        <v>1</v>
      </c>
    </row>
    <row r="10" customFormat="false" ht="15" hidden="false" customHeight="true" outlineLevel="0" collapsed="false">
      <c r="A10" s="13" t="s">
        <v>39</v>
      </c>
      <c r="B10" s="14" t="str">
        <f aca="false">IFERROR(COUNTIFS(预测日志!O2:O1000,"震荡",预测日志!M2:M1000,"√")/(COUNTIFS(预测日志!O2:O1000,"震荡",预测日志!M2:M1000,"√")+COUNTIFS(预测日志!O2:O1000,"震荡",预测日志!M2:M1000,"×")),"-")</f>
        <v>-</v>
      </c>
    </row>
    <row r="12" customFormat="false" ht="15" hidden="false" customHeight="true" outlineLevel="0" collapsed="false">
      <c r="A12" s="18" t="s">
        <v>40</v>
      </c>
    </row>
    <row r="13" customFormat="false" ht="15" hidden="false" customHeight="false" outlineLevel="0" collapsed="false">
      <c r="A13" s="19" t="s">
        <v>41</v>
      </c>
      <c r="B13" s="1" t="n">
        <f aca="false">COUNT(预测日志!R2:R1000)</f>
        <v>2</v>
      </c>
    </row>
    <row r="14" customFormat="false" ht="15" hidden="false" customHeight="false" outlineLevel="0" collapsed="false">
      <c r="A14" s="19" t="s">
        <v>42</v>
      </c>
      <c r="B14" s="1" t="n">
        <f aca="false">COUNTIFS(预测日志!R2:R1000,"&gt;0",预测日志!M2:M1000,"√")+COUNTIFS(预测日志!R2:R1000,"&gt;0",预测日志!M2:M1000,"×")</f>
        <v>1</v>
      </c>
    </row>
    <row r="15" customFormat="false" ht="15" hidden="false" customHeight="false" outlineLevel="0" collapsed="false">
      <c r="A15" s="19" t="s">
        <v>43</v>
      </c>
      <c r="B15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20" t="s">
        <v>45</v>
      </c>
    </row>
    <row r="3" customFormat="false" ht="15" hidden="false" customHeight="true" outlineLevel="0" collapsed="false">
      <c r="A3" s="21" t="s">
        <v>46</v>
      </c>
      <c r="B3" s="22" t="s">
        <v>47</v>
      </c>
    </row>
    <row r="4" customFormat="false" ht="15" hidden="false" customHeight="true" outlineLevel="0" collapsed="false">
      <c r="A4" s="21" t="s">
        <v>48</v>
      </c>
      <c r="B4" s="22" t="s">
        <v>49</v>
      </c>
    </row>
    <row r="5" customFormat="false" ht="15" hidden="false" customHeight="true" outlineLevel="0" collapsed="false">
      <c r="A5" s="21" t="s">
        <v>50</v>
      </c>
      <c r="B5" s="22" t="s">
        <v>51</v>
      </c>
    </row>
    <row r="6" customFormat="false" ht="15" hidden="false" customHeight="true" outlineLevel="0" collapsed="false">
      <c r="A6" s="21" t="s">
        <v>52</v>
      </c>
      <c r="B6" s="22" t="s">
        <v>53</v>
      </c>
    </row>
    <row r="7" customFormat="false" ht="15" hidden="false" customHeight="true" outlineLevel="0" collapsed="false">
      <c r="A7" s="21" t="s">
        <v>54</v>
      </c>
      <c r="B7" s="22" t="s">
        <v>55</v>
      </c>
    </row>
    <row r="8" customFormat="false" ht="15" hidden="false" customHeight="true" outlineLevel="0" collapsed="false">
      <c r="A8" s="21" t="s">
        <v>7</v>
      </c>
      <c r="B8" s="22" t="s">
        <v>56</v>
      </c>
    </row>
    <row r="9" customFormat="false" ht="15" hidden="false" customHeight="true" outlineLevel="0" collapsed="false">
      <c r="A9" s="21" t="s">
        <v>14</v>
      </c>
      <c r="B9" s="22" t="s">
        <v>57</v>
      </c>
    </row>
    <row r="10" customFormat="false" ht="15" hidden="false" customHeight="true" outlineLevel="0" collapsed="false">
      <c r="A10" s="21" t="s">
        <v>58</v>
      </c>
      <c r="B10" s="23" t="s">
        <v>59</v>
      </c>
    </row>
    <row r="11" customFormat="false" ht="15" hidden="false" customHeight="true" outlineLevel="0" collapsed="false">
      <c r="A11" s="21" t="s">
        <v>60</v>
      </c>
      <c r="B11" s="22" t="s">
        <v>61</v>
      </c>
    </row>
    <row r="12" customFormat="false" ht="15" hidden="false" customHeight="true" outlineLevel="0" collapsed="false">
      <c r="A12" s="21" t="s">
        <v>62</v>
      </c>
      <c r="B12" s="23" t="s">
        <v>63</v>
      </c>
    </row>
    <row r="13" customFormat="false" ht="15" hidden="false" customHeight="false" outlineLevel="0" collapsed="false">
      <c r="A13" s="19" t="s">
        <v>17</v>
      </c>
      <c r="B13" s="1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2026-08-21T02:39:28Z</dcterms:created>
  <dc:creator>openpyxl</dc:creator>
  <dc:description/>
  <dc:language>en-US</dc:language>
  <cp:lastModifiedBy/>
  <dcterms:modified xsi:type="dcterms:W3CDTF">2026-08-24T09:21:04Z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